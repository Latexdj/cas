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esktop\St. Augustines Doc\REGISTRATION\2024\"/>
    </mc:Choice>
  </mc:AlternateContent>
  <xr:revisionPtr revIDLastSave="0" documentId="13_ncr:1_{4CDC9B99-2062-46B8-A6B7-287CD72F14A9}" xr6:coauthVersionLast="47" xr6:coauthVersionMax="47" xr10:uidLastSave="{00000000-0000-0000-0000-000000000000}"/>
  <bookViews>
    <workbookView xWindow="-110" yWindow="-110" windowWidth="19420" windowHeight="10300" xr2:uid="{51F5F94A-236F-4F4A-8D8B-DB997F9605E3}"/>
  </bookViews>
  <sheets>
    <sheet name="ST. AUGUSTINES SHTS" sheetId="1" r:id="rId1"/>
  </sheets>
  <definedNames>
    <definedName name="ABAKRAMPA_SHTS">#REF!</definedName>
    <definedName name="ABURAMAN_SHS">#REF!</definedName>
    <definedName name="ACADEMY_OF_CHRIST_THE_KING">#REF!</definedName>
    <definedName name="ADANKWAMAN_SHS">#REF!</definedName>
    <definedName name="ADISADEL_COLLEGE">#REF!</definedName>
    <definedName name="AGGREY_MEMORIAL_AME_ZION_SHS">#REF!</definedName>
    <definedName name="APAM_SHS">#REF!</definedName>
    <definedName name="ASSIN_MANSO_SHS">#REF!</definedName>
    <definedName name="ASSIN_NSUTA_AGRIC_SHS">#REF!</definedName>
    <definedName name="ASSIN_NSUTA_SHS">#REF!</definedName>
    <definedName name="ASSIN_STATE_COLLEGE">#REF!</definedName>
    <definedName name="BAWJIASE_SHS">#REF!</definedName>
    <definedName name="BISEASE_SHS">#REF!</definedName>
    <definedName name="BRAKWA_SEC_TECH">#REF!</definedName>
    <definedName name="BRAKWA_SHTS">#REF!</definedName>
    <definedName name="BREMAN_ASIKUMA_SHS">#REF!</definedName>
    <definedName name="DIASO_SHS">#REF!</definedName>
    <definedName name="EDINAMAN_SHS">#REF!</definedName>
    <definedName name="EDNINAMAN_SHS">#REF!</definedName>
    <definedName name="EKUMFI_T._I._AHMADIYYA_SHS">#REF!</definedName>
    <definedName name="EKUMFI_T.I._AHMADIYYA_SHS">#REF!</definedName>
    <definedName name="ENYAN_DENKYIRA_SHTS">#REF!</definedName>
    <definedName name="GHANA_NATIONAL_COLLEGE">#REF!</definedName>
    <definedName name="GOMOA_SHTS">#REF!</definedName>
    <definedName name="HOLY_CHILD_SCHOOL">#REF!</definedName>
    <definedName name="JUKWA_SHTS">#REF!</definedName>
    <definedName name="KOMENDA_SHTS">#REF!</definedName>
    <definedName name="MANDO_SHTS">#REF!</definedName>
    <definedName name="MANKESSIM_SHTS">#REF!</definedName>
    <definedName name="METHODIST_SHS">#REF!</definedName>
    <definedName name="MFANTSIMAN_GIRLS_SHS">#REF!</definedName>
    <definedName name="MFANTSIPIM_SCHOOL">#REF!</definedName>
    <definedName name="MOREE_SHTS">#REF!</definedName>
    <definedName name="NSABA_PRESBYTERIAN_SHS">#REF!</definedName>
    <definedName name="NYAKROM_SHTS">#REF!</definedName>
    <definedName name="NYANKUMASI_AHENKRO_SHS">#REF!</definedName>
    <definedName name="OBIRI_YEBOAH_SHTS">#REF!</definedName>
    <definedName name="OBRACHIRE_SHS">#REF!</definedName>
    <definedName name="ODOBEN_SHS">#REF!</definedName>
    <definedName name="OGUAA_SHTS">#REF!</definedName>
    <definedName name="POTSIN_T._I._AHMADIYYA_SHTS">#REF!</definedName>
    <definedName name="SENYA_SHS">#REF!</definedName>
    <definedName name="SIDDIQ_SHS">#REF!</definedName>
    <definedName name="ST_AUGUSTINE_S_COLLEGE">#REF!</definedName>
    <definedName name="SWEDRU_SCHOOL_OF_BUSINESS">#REF!</definedName>
    <definedName name="TWIFO_HEMANG_SHTS">#REF!</definedName>
    <definedName name="UNIVERSITY_PRACTICE_SHS">#REF!</definedName>
    <definedName name="WESLEY_GIRLS__HIGH_SCHOOL">#REF!</definedName>
    <definedName name="Wesley_Girls_High_Schoo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BK10" i="1"/>
  <c r="BK11" i="1"/>
  <c r="BJ10" i="1"/>
  <c r="BJ11" i="1"/>
  <c r="BH10" i="1"/>
  <c r="BH11" i="1"/>
  <c r="BH12" i="1"/>
  <c r="BG10" i="1"/>
  <c r="BG11" i="1"/>
  <c r="BG12" i="1"/>
  <c r="BE10" i="1"/>
  <c r="BE11" i="1"/>
  <c r="BE12" i="1"/>
  <c r="BD10" i="1"/>
  <c r="BD11" i="1"/>
  <c r="BD12" i="1"/>
  <c r="BB10" i="1"/>
  <c r="BA10" i="1"/>
  <c r="AY10" i="1"/>
  <c r="AY11" i="1"/>
  <c r="AX10" i="1"/>
  <c r="AX11" i="1"/>
  <c r="AS10" i="1"/>
  <c r="AV10" i="1" s="1"/>
  <c r="AS11" i="1"/>
  <c r="AV11" i="1" s="1"/>
  <c r="AS12" i="1"/>
  <c r="AR10" i="1"/>
  <c r="AU10" i="1" s="1"/>
  <c r="AR11" i="1"/>
  <c r="AR12" i="1"/>
  <c r="AU12" i="1" s="1"/>
  <c r="G58" i="1"/>
  <c r="F58" i="1"/>
  <c r="D58" i="1"/>
  <c r="C58" i="1"/>
  <c r="AQ57" i="1"/>
  <c r="AP57" i="1"/>
  <c r="AO57" i="1"/>
  <c r="AL57" i="1"/>
  <c r="AI57" i="1"/>
  <c r="AF57" i="1"/>
  <c r="AC57" i="1"/>
  <c r="Z57" i="1"/>
  <c r="W57" i="1"/>
  <c r="T57" i="1"/>
  <c r="Q57" i="1"/>
  <c r="N57" i="1"/>
  <c r="K57" i="1"/>
  <c r="H57" i="1"/>
  <c r="E57" i="1"/>
  <c r="AQ56" i="1"/>
  <c r="AP56" i="1"/>
  <c r="AO56" i="1"/>
  <c r="AL56" i="1"/>
  <c r="AI56" i="1"/>
  <c r="AF56" i="1"/>
  <c r="AC56" i="1"/>
  <c r="Z56" i="1"/>
  <c r="W56" i="1"/>
  <c r="T56" i="1"/>
  <c r="Q56" i="1"/>
  <c r="N56" i="1"/>
  <c r="H56" i="1"/>
  <c r="E56" i="1"/>
  <c r="BK55" i="1"/>
  <c r="BJ55" i="1"/>
  <c r="BN55" i="1" s="1"/>
  <c r="BI55" i="1"/>
  <c r="BH55" i="1"/>
  <c r="BG55" i="1"/>
  <c r="BE55" i="1"/>
  <c r="BD55" i="1"/>
  <c r="BF55" i="1" s="1"/>
  <c r="BB55" i="1"/>
  <c r="BA55" i="1"/>
  <c r="AY55" i="1"/>
  <c r="AX55" i="1"/>
  <c r="AZ55" i="1" s="1"/>
  <c r="AV55" i="1"/>
  <c r="AU55" i="1"/>
  <c r="AS55" i="1"/>
  <c r="AR55" i="1"/>
  <c r="AT55" i="1" s="1"/>
  <c r="AQ55" i="1"/>
  <c r="AP55" i="1"/>
  <c r="AO55" i="1"/>
  <c r="AL55" i="1"/>
  <c r="AI55" i="1"/>
  <c r="AF55" i="1"/>
  <c r="AC55" i="1"/>
  <c r="Z55" i="1"/>
  <c r="W55" i="1"/>
  <c r="T55" i="1"/>
  <c r="Q55" i="1"/>
  <c r="N55" i="1"/>
  <c r="K55" i="1"/>
  <c r="H55" i="1"/>
  <c r="AW55" i="1" s="1"/>
  <c r="E55" i="1"/>
  <c r="BN54" i="1"/>
  <c r="BK54" i="1"/>
  <c r="BJ54" i="1"/>
  <c r="BM54" i="1" s="1"/>
  <c r="BI54" i="1"/>
  <c r="BH54" i="1"/>
  <c r="BG54" i="1"/>
  <c r="BE54" i="1"/>
  <c r="BD54" i="1"/>
  <c r="BF54" i="1" s="1"/>
  <c r="BB54" i="1"/>
  <c r="BA54" i="1"/>
  <c r="AY54" i="1"/>
  <c r="AX54" i="1"/>
  <c r="AZ54" i="1" s="1"/>
  <c r="AV54" i="1"/>
  <c r="AU54" i="1"/>
  <c r="AS54" i="1"/>
  <c r="AR54" i="1"/>
  <c r="AT54" i="1" s="1"/>
  <c r="AQ54" i="1"/>
  <c r="AP54" i="1"/>
  <c r="AO54" i="1"/>
  <c r="AL54" i="1"/>
  <c r="AI54" i="1"/>
  <c r="AF54" i="1"/>
  <c r="AC54" i="1"/>
  <c r="Z54" i="1"/>
  <c r="W54" i="1"/>
  <c r="T54" i="1"/>
  <c r="Q54" i="1"/>
  <c r="N54" i="1"/>
  <c r="H54" i="1"/>
  <c r="BC54" i="1" s="1"/>
  <c r="E54" i="1"/>
  <c r="BM53" i="1"/>
  <c r="BK53" i="1"/>
  <c r="BJ53" i="1"/>
  <c r="BN53" i="1" s="1"/>
  <c r="BI53" i="1"/>
  <c r="BH53" i="1"/>
  <c r="BG53" i="1"/>
  <c r="BE53" i="1"/>
  <c r="BD53" i="1"/>
  <c r="BC53" i="1"/>
  <c r="BB53" i="1"/>
  <c r="BA53" i="1"/>
  <c r="AY53" i="1"/>
  <c r="AX53" i="1"/>
  <c r="AW53" i="1"/>
  <c r="AV53" i="1"/>
  <c r="AU53" i="1"/>
  <c r="AS53" i="1"/>
  <c r="AR53" i="1"/>
  <c r="AQ53" i="1"/>
  <c r="AP53" i="1"/>
  <c r="AO53" i="1"/>
  <c r="AL53" i="1"/>
  <c r="AI53" i="1"/>
  <c r="AF53" i="1"/>
  <c r="AC53" i="1"/>
  <c r="Z53" i="1"/>
  <c r="W53" i="1"/>
  <c r="T53" i="1"/>
  <c r="Q53" i="1"/>
  <c r="N53" i="1"/>
  <c r="K53" i="1"/>
  <c r="H53" i="1"/>
  <c r="E53" i="1"/>
  <c r="BK52" i="1"/>
  <c r="BJ52" i="1"/>
  <c r="BN52" i="1" s="1"/>
  <c r="BH52" i="1"/>
  <c r="BG52" i="1"/>
  <c r="BE52" i="1"/>
  <c r="BD52" i="1"/>
  <c r="BB52" i="1"/>
  <c r="BA52" i="1"/>
  <c r="AY52" i="1"/>
  <c r="AZ52" i="1" s="1"/>
  <c r="AX52" i="1"/>
  <c r="AV52" i="1"/>
  <c r="AU52" i="1"/>
  <c r="AS52" i="1"/>
  <c r="AR52" i="1"/>
  <c r="AT52" i="1" s="1"/>
  <c r="AQ52" i="1"/>
  <c r="AP52" i="1"/>
  <c r="AO52" i="1"/>
  <c r="AL52" i="1"/>
  <c r="AI52" i="1"/>
  <c r="AF52" i="1"/>
  <c r="AC52" i="1"/>
  <c r="Z52" i="1"/>
  <c r="W52" i="1"/>
  <c r="T52" i="1"/>
  <c r="Q52" i="1"/>
  <c r="N52" i="1"/>
  <c r="H52" i="1"/>
  <c r="BC52" i="1" s="1"/>
  <c r="E52" i="1"/>
  <c r="BI52" i="1" s="1"/>
  <c r="BM51" i="1"/>
  <c r="BK51" i="1"/>
  <c r="BJ51" i="1"/>
  <c r="BN51" i="1" s="1"/>
  <c r="BH51" i="1"/>
  <c r="BG51" i="1"/>
  <c r="BE51" i="1"/>
  <c r="BD51" i="1"/>
  <c r="BB51" i="1"/>
  <c r="BA51" i="1"/>
  <c r="AY51" i="1"/>
  <c r="AX51" i="1"/>
  <c r="AZ51" i="1" s="1"/>
  <c r="AV51" i="1"/>
  <c r="AU51" i="1"/>
  <c r="AS51" i="1"/>
  <c r="AR51" i="1"/>
  <c r="AQ51" i="1"/>
  <c r="AP51" i="1"/>
  <c r="AO51" i="1"/>
  <c r="AL51" i="1"/>
  <c r="AI51" i="1"/>
  <c r="AF51" i="1"/>
  <c r="AC51" i="1"/>
  <c r="Z51" i="1"/>
  <c r="W51" i="1"/>
  <c r="T51" i="1"/>
  <c r="Q51" i="1"/>
  <c r="N51" i="1"/>
  <c r="H51" i="1"/>
  <c r="AW51" i="1" s="1"/>
  <c r="E51" i="1"/>
  <c r="BI51" i="1" s="1"/>
  <c r="BK50" i="1"/>
  <c r="BJ50" i="1"/>
  <c r="BN50" i="1" s="1"/>
  <c r="BH50" i="1"/>
  <c r="BG50" i="1"/>
  <c r="BE50" i="1"/>
  <c r="BD50" i="1"/>
  <c r="BB50" i="1"/>
  <c r="BA50" i="1"/>
  <c r="AY50" i="1"/>
  <c r="AX50" i="1"/>
  <c r="AZ50" i="1" s="1"/>
  <c r="AV50" i="1"/>
  <c r="AU50" i="1"/>
  <c r="AS50" i="1"/>
  <c r="AR50" i="1"/>
  <c r="AQ50" i="1"/>
  <c r="AP50" i="1"/>
  <c r="AO50" i="1"/>
  <c r="AL50" i="1"/>
  <c r="AI50" i="1"/>
  <c r="AF50" i="1"/>
  <c r="AC50" i="1"/>
  <c r="Z50" i="1"/>
  <c r="W50" i="1"/>
  <c r="T50" i="1"/>
  <c r="Q50" i="1"/>
  <c r="N50" i="1"/>
  <c r="H50" i="1"/>
  <c r="BC50" i="1" s="1"/>
  <c r="E50" i="1"/>
  <c r="BI50" i="1" s="1"/>
  <c r="AQ49" i="1"/>
  <c r="AP49" i="1"/>
  <c r="AO49" i="1"/>
  <c r="AL49" i="1"/>
  <c r="AI49" i="1"/>
  <c r="AF49" i="1"/>
  <c r="AC49" i="1"/>
  <c r="Z49" i="1"/>
  <c r="W49" i="1"/>
  <c r="T49" i="1"/>
  <c r="Q49" i="1"/>
  <c r="N49" i="1"/>
  <c r="H49" i="1"/>
  <c r="E49" i="1"/>
  <c r="BK48" i="1"/>
  <c r="BJ48" i="1"/>
  <c r="BI48" i="1"/>
  <c r="BH48" i="1"/>
  <c r="BG48" i="1"/>
  <c r="BE48" i="1"/>
  <c r="BF48" i="1" s="1"/>
  <c r="BD48" i="1"/>
  <c r="BB48" i="1"/>
  <c r="BA48" i="1"/>
  <c r="AY48" i="1"/>
  <c r="AX48" i="1"/>
  <c r="AZ48" i="1" s="1"/>
  <c r="AW48" i="1"/>
  <c r="AV48" i="1"/>
  <c r="AU48" i="1"/>
  <c r="AS48" i="1"/>
  <c r="AR48" i="1"/>
  <c r="AQ48" i="1"/>
  <c r="AP48" i="1"/>
  <c r="AO48" i="1"/>
  <c r="AL48" i="1"/>
  <c r="AI48" i="1"/>
  <c r="AF48" i="1"/>
  <c r="AC48" i="1"/>
  <c r="Z48" i="1"/>
  <c r="W48" i="1"/>
  <c r="T48" i="1"/>
  <c r="Q48" i="1"/>
  <c r="N48" i="1"/>
  <c r="H48" i="1"/>
  <c r="BC48" i="1" s="1"/>
  <c r="E48" i="1"/>
  <c r="BK47" i="1"/>
  <c r="BN47" i="1" s="1"/>
  <c r="BJ47" i="1"/>
  <c r="BH47" i="1"/>
  <c r="BG47" i="1"/>
  <c r="BE47" i="1"/>
  <c r="BD47" i="1"/>
  <c r="BB47" i="1"/>
  <c r="BA47" i="1"/>
  <c r="AY47" i="1"/>
  <c r="AX47" i="1"/>
  <c r="AS47" i="1"/>
  <c r="AV47" i="1" s="1"/>
  <c r="AR47" i="1"/>
  <c r="AU47" i="1" s="1"/>
  <c r="AQ47" i="1"/>
  <c r="AP47" i="1"/>
  <c r="AO47" i="1"/>
  <c r="AL47" i="1"/>
  <c r="AI47" i="1"/>
  <c r="AF47" i="1"/>
  <c r="AC47" i="1"/>
  <c r="Z47" i="1"/>
  <c r="W47" i="1"/>
  <c r="T47" i="1"/>
  <c r="Q47" i="1"/>
  <c r="N47" i="1"/>
  <c r="H47" i="1"/>
  <c r="E47" i="1"/>
  <c r="BK46" i="1"/>
  <c r="BJ46" i="1"/>
  <c r="BM46" i="1" s="1"/>
  <c r="BH46" i="1"/>
  <c r="BG46" i="1"/>
  <c r="BE46" i="1"/>
  <c r="BD46" i="1"/>
  <c r="BF46" i="1" s="1"/>
  <c r="BB46" i="1"/>
  <c r="BA46" i="1"/>
  <c r="AY46" i="1"/>
  <c r="AX46" i="1"/>
  <c r="AS46" i="1"/>
  <c r="AV46" i="1" s="1"/>
  <c r="AR46" i="1"/>
  <c r="AU46" i="1" s="1"/>
  <c r="AQ46" i="1"/>
  <c r="AP46" i="1"/>
  <c r="AO46" i="1"/>
  <c r="AL46" i="1"/>
  <c r="AI46" i="1"/>
  <c r="AF46" i="1"/>
  <c r="AC46" i="1"/>
  <c r="Z46" i="1"/>
  <c r="W46" i="1"/>
  <c r="T46" i="1"/>
  <c r="Q46" i="1"/>
  <c r="N46" i="1"/>
  <c r="H46" i="1"/>
  <c r="E46" i="1"/>
  <c r="BK45" i="1"/>
  <c r="BJ45" i="1"/>
  <c r="BN45" i="1" s="1"/>
  <c r="BH45" i="1"/>
  <c r="BG45" i="1"/>
  <c r="BE45" i="1"/>
  <c r="BF45" i="1" s="1"/>
  <c r="BD45" i="1"/>
  <c r="BB45" i="1"/>
  <c r="BA45" i="1"/>
  <c r="AY45" i="1"/>
  <c r="AX45" i="1"/>
  <c r="AW45" i="1"/>
  <c r="AV45" i="1"/>
  <c r="AU45" i="1"/>
  <c r="AS45" i="1"/>
  <c r="AR45" i="1"/>
  <c r="AT45" i="1" s="1"/>
  <c r="AQ45" i="1"/>
  <c r="AP45" i="1"/>
  <c r="AO45" i="1"/>
  <c r="AL45" i="1"/>
  <c r="AI45" i="1"/>
  <c r="AF45" i="1"/>
  <c r="AC45" i="1"/>
  <c r="Z45" i="1"/>
  <c r="W45" i="1"/>
  <c r="T45" i="1"/>
  <c r="Q45" i="1"/>
  <c r="N45" i="1"/>
  <c r="H45" i="1"/>
  <c r="BC45" i="1" s="1"/>
  <c r="E45" i="1"/>
  <c r="BI45" i="1" s="1"/>
  <c r="BN44" i="1"/>
  <c r="BL44" i="1"/>
  <c r="BO44" i="1" s="1"/>
  <c r="BK44" i="1"/>
  <c r="BJ44" i="1"/>
  <c r="BM44" i="1" s="1"/>
  <c r="BH44" i="1"/>
  <c r="BG44" i="1"/>
  <c r="BE44" i="1"/>
  <c r="BD44" i="1"/>
  <c r="BB44" i="1"/>
  <c r="BA44" i="1"/>
  <c r="AY44" i="1"/>
  <c r="AX44" i="1"/>
  <c r="AZ44" i="1" s="1"/>
  <c r="AV44" i="1"/>
  <c r="AU44" i="1"/>
  <c r="AS44" i="1"/>
  <c r="AR44" i="1"/>
  <c r="AQ44" i="1"/>
  <c r="AP44" i="1"/>
  <c r="AO44" i="1"/>
  <c r="AL44" i="1"/>
  <c r="AI44" i="1"/>
  <c r="AF44" i="1"/>
  <c r="AC44" i="1"/>
  <c r="Z44" i="1"/>
  <c r="W44" i="1"/>
  <c r="T44" i="1"/>
  <c r="Q44" i="1"/>
  <c r="N44" i="1"/>
  <c r="H44" i="1"/>
  <c r="AW44" i="1" s="1"/>
  <c r="E44" i="1"/>
  <c r="BI44" i="1" s="1"/>
  <c r="BK43" i="1"/>
  <c r="BJ43" i="1"/>
  <c r="BN43" i="1" s="1"/>
  <c r="BI43" i="1"/>
  <c r="BH43" i="1"/>
  <c r="BG43" i="1"/>
  <c r="BE43" i="1"/>
  <c r="BD43" i="1"/>
  <c r="BB43" i="1"/>
  <c r="BA43" i="1"/>
  <c r="AY43" i="1"/>
  <c r="AX43" i="1"/>
  <c r="AZ43" i="1" s="1"/>
  <c r="AV43" i="1"/>
  <c r="AU43" i="1"/>
  <c r="AS43" i="1"/>
  <c r="AR43" i="1"/>
  <c r="AT43" i="1" s="1"/>
  <c r="AQ43" i="1"/>
  <c r="AP43" i="1"/>
  <c r="AO43" i="1"/>
  <c r="AL43" i="1"/>
  <c r="AI43" i="1"/>
  <c r="AF43" i="1"/>
  <c r="AC43" i="1"/>
  <c r="Z43" i="1"/>
  <c r="W43" i="1"/>
  <c r="T43" i="1"/>
  <c r="Q43" i="1"/>
  <c r="N43" i="1"/>
  <c r="K43" i="1"/>
  <c r="H43" i="1"/>
  <c r="AW43" i="1" s="1"/>
  <c r="E43" i="1"/>
  <c r="BK42" i="1"/>
  <c r="BJ42" i="1"/>
  <c r="BM42" i="1" s="1"/>
  <c r="BH42" i="1"/>
  <c r="BG42" i="1"/>
  <c r="BE42" i="1"/>
  <c r="BD42" i="1"/>
  <c r="BF42" i="1" s="1"/>
  <c r="BB42" i="1"/>
  <c r="BA42" i="1"/>
  <c r="AY42" i="1"/>
  <c r="AX42" i="1"/>
  <c r="AZ42" i="1" s="1"/>
  <c r="AV42" i="1"/>
  <c r="AU42" i="1"/>
  <c r="AS42" i="1"/>
  <c r="AR42" i="1"/>
  <c r="AQ42" i="1"/>
  <c r="AP42" i="1"/>
  <c r="AO42" i="1"/>
  <c r="AL42" i="1"/>
  <c r="AI42" i="1"/>
  <c r="AF42" i="1"/>
  <c r="AC42" i="1"/>
  <c r="Z42" i="1"/>
  <c r="W42" i="1"/>
  <c r="T42" i="1"/>
  <c r="Q42" i="1"/>
  <c r="N42" i="1"/>
  <c r="H42" i="1"/>
  <c r="BC42" i="1" s="1"/>
  <c r="E42" i="1"/>
  <c r="BI42" i="1" s="1"/>
  <c r="BK41" i="1"/>
  <c r="BJ41" i="1"/>
  <c r="BM41" i="1" s="1"/>
  <c r="BH41" i="1"/>
  <c r="BG41" i="1"/>
  <c r="BE41" i="1"/>
  <c r="BD41" i="1"/>
  <c r="BB41" i="1"/>
  <c r="BA41" i="1"/>
  <c r="AY41" i="1"/>
  <c r="AX41" i="1"/>
  <c r="AV41" i="1"/>
  <c r="AU41" i="1"/>
  <c r="AS41" i="1"/>
  <c r="AR41" i="1"/>
  <c r="AQ41" i="1"/>
  <c r="AP41" i="1"/>
  <c r="AO41" i="1"/>
  <c r="AL41" i="1"/>
  <c r="AI41" i="1"/>
  <c r="AF41" i="1"/>
  <c r="AC41" i="1"/>
  <c r="Z41" i="1"/>
  <c r="W41" i="1"/>
  <c r="T41" i="1"/>
  <c r="Q41" i="1"/>
  <c r="N41" i="1"/>
  <c r="K41" i="1"/>
  <c r="H41" i="1"/>
  <c r="BC41" i="1" s="1"/>
  <c r="E41" i="1"/>
  <c r="BI41" i="1" s="1"/>
  <c r="BK40" i="1"/>
  <c r="BJ40" i="1"/>
  <c r="BM40" i="1" s="1"/>
  <c r="BH40" i="1"/>
  <c r="BG40" i="1"/>
  <c r="BE40" i="1"/>
  <c r="BF40" i="1" s="1"/>
  <c r="BD40" i="1"/>
  <c r="BB40" i="1"/>
  <c r="BA40" i="1"/>
  <c r="AY40" i="1"/>
  <c r="AX40" i="1"/>
  <c r="AZ40" i="1" s="1"/>
  <c r="AV40" i="1"/>
  <c r="AU40" i="1"/>
  <c r="AS40" i="1"/>
  <c r="AR40" i="1"/>
  <c r="AQ40" i="1"/>
  <c r="AP40" i="1"/>
  <c r="AO40" i="1"/>
  <c r="AL40" i="1"/>
  <c r="AI40" i="1"/>
  <c r="AF40" i="1"/>
  <c r="AC40" i="1"/>
  <c r="Z40" i="1"/>
  <c r="W40" i="1"/>
  <c r="T40" i="1"/>
  <c r="Q40" i="1"/>
  <c r="N40" i="1"/>
  <c r="H40" i="1"/>
  <c r="BC40" i="1" s="1"/>
  <c r="E40" i="1"/>
  <c r="BI40" i="1" s="1"/>
  <c r="BK39" i="1"/>
  <c r="BL39" i="1" s="1"/>
  <c r="BO39" i="1" s="1"/>
  <c r="BJ39" i="1"/>
  <c r="BH39" i="1"/>
  <c r="BG39" i="1"/>
  <c r="BE39" i="1"/>
  <c r="BF39" i="1" s="1"/>
  <c r="BD39" i="1"/>
  <c r="BB39" i="1"/>
  <c r="BA39" i="1"/>
  <c r="AY39" i="1"/>
  <c r="AX39" i="1"/>
  <c r="AU39" i="1"/>
  <c r="AS39" i="1"/>
  <c r="AV39" i="1" s="1"/>
  <c r="AR39" i="1"/>
  <c r="AQ39" i="1"/>
  <c r="AP39" i="1"/>
  <c r="AO39" i="1"/>
  <c r="AL39" i="1"/>
  <c r="AI39" i="1"/>
  <c r="AF39" i="1"/>
  <c r="AC39" i="1"/>
  <c r="Z39" i="1"/>
  <c r="W39" i="1"/>
  <c r="T39" i="1"/>
  <c r="Q39" i="1"/>
  <c r="N39" i="1"/>
  <c r="K39" i="1"/>
  <c r="H39" i="1"/>
  <c r="E39" i="1"/>
  <c r="BI39" i="1" s="1"/>
  <c r="BK38" i="1"/>
  <c r="BJ38" i="1"/>
  <c r="BN38" i="1" s="1"/>
  <c r="BH38" i="1"/>
  <c r="BG38" i="1"/>
  <c r="BE38" i="1"/>
  <c r="BD38" i="1"/>
  <c r="BB38" i="1"/>
  <c r="BA38" i="1"/>
  <c r="AY38" i="1"/>
  <c r="AX38" i="1"/>
  <c r="AZ38" i="1" s="1"/>
  <c r="AV38" i="1"/>
  <c r="AS38" i="1"/>
  <c r="AR38" i="1"/>
  <c r="AU38" i="1" s="1"/>
  <c r="AQ38" i="1"/>
  <c r="AP38" i="1"/>
  <c r="AO38" i="1"/>
  <c r="AL38" i="1"/>
  <c r="AI38" i="1"/>
  <c r="AF38" i="1"/>
  <c r="AC38" i="1"/>
  <c r="Z38" i="1"/>
  <c r="W38" i="1"/>
  <c r="T38" i="1"/>
  <c r="Q38" i="1"/>
  <c r="N38" i="1"/>
  <c r="H38" i="1"/>
  <c r="BC38" i="1" s="1"/>
  <c r="E38" i="1"/>
  <c r="BI38" i="1" s="1"/>
  <c r="BM37" i="1"/>
  <c r="BK37" i="1"/>
  <c r="BJ37" i="1"/>
  <c r="BL37" i="1" s="1"/>
  <c r="BO37" i="1" s="1"/>
  <c r="BH37" i="1"/>
  <c r="BG37" i="1"/>
  <c r="BE37" i="1"/>
  <c r="BD37" i="1"/>
  <c r="BF37" i="1" s="1"/>
  <c r="BB37" i="1"/>
  <c r="BA37" i="1"/>
  <c r="AY37" i="1"/>
  <c r="AX37" i="1"/>
  <c r="AS37" i="1"/>
  <c r="AV37" i="1" s="1"/>
  <c r="AR37" i="1"/>
  <c r="AU37" i="1" s="1"/>
  <c r="AQ37" i="1"/>
  <c r="AP37" i="1"/>
  <c r="AO37" i="1"/>
  <c r="AL37" i="1"/>
  <c r="AI37" i="1"/>
  <c r="AF37" i="1"/>
  <c r="AC37" i="1"/>
  <c r="Z37" i="1"/>
  <c r="W37" i="1"/>
  <c r="T37" i="1"/>
  <c r="Q37" i="1"/>
  <c r="N37" i="1"/>
  <c r="H37" i="1"/>
  <c r="E37" i="1"/>
  <c r="BI37" i="1" s="1"/>
  <c r="BK36" i="1"/>
  <c r="BJ36" i="1"/>
  <c r="BM36" i="1" s="1"/>
  <c r="BH36" i="1"/>
  <c r="BG36" i="1"/>
  <c r="BE36" i="1"/>
  <c r="BD36" i="1"/>
  <c r="BB36" i="1"/>
  <c r="BA36" i="1"/>
  <c r="AY36" i="1"/>
  <c r="AX36" i="1"/>
  <c r="AW36" i="1"/>
  <c r="AV36" i="1"/>
  <c r="AU36" i="1"/>
  <c r="AS36" i="1"/>
  <c r="AR36" i="1"/>
  <c r="AQ36" i="1"/>
  <c r="AP36" i="1"/>
  <c r="AO36" i="1"/>
  <c r="AL36" i="1"/>
  <c r="AI36" i="1"/>
  <c r="AF36" i="1"/>
  <c r="AC36" i="1"/>
  <c r="Z36" i="1"/>
  <c r="W36" i="1"/>
  <c r="T36" i="1"/>
  <c r="Q36" i="1"/>
  <c r="N36" i="1"/>
  <c r="H36" i="1"/>
  <c r="BC36" i="1" s="1"/>
  <c r="E36" i="1"/>
  <c r="BI36" i="1" s="1"/>
  <c r="BK35" i="1"/>
  <c r="BJ35" i="1"/>
  <c r="BH35" i="1"/>
  <c r="BG35" i="1"/>
  <c r="BE35" i="1"/>
  <c r="BD35" i="1"/>
  <c r="BB35" i="1"/>
  <c r="BA35" i="1"/>
  <c r="AY35" i="1"/>
  <c r="AX35" i="1"/>
  <c r="AW35" i="1"/>
  <c r="AV35" i="1"/>
  <c r="AU35" i="1"/>
  <c r="AS35" i="1"/>
  <c r="AR35" i="1"/>
  <c r="AQ35" i="1"/>
  <c r="AP35" i="1"/>
  <c r="AO35" i="1"/>
  <c r="AL35" i="1"/>
  <c r="AI35" i="1"/>
  <c r="AF35" i="1"/>
  <c r="AC35" i="1"/>
  <c r="Z35" i="1"/>
  <c r="W35" i="1"/>
  <c r="T35" i="1"/>
  <c r="Q35" i="1"/>
  <c r="N35" i="1"/>
  <c r="H35" i="1"/>
  <c r="BC35" i="1" s="1"/>
  <c r="E35" i="1"/>
  <c r="BI35" i="1" s="1"/>
  <c r="BK34" i="1"/>
  <c r="BN34" i="1" s="1"/>
  <c r="BJ34" i="1"/>
  <c r="BH34" i="1"/>
  <c r="BG34" i="1"/>
  <c r="BE34" i="1"/>
  <c r="BD34" i="1"/>
  <c r="BF34" i="1" s="1"/>
  <c r="BB34" i="1"/>
  <c r="BA34" i="1"/>
  <c r="AY34" i="1"/>
  <c r="AX34" i="1"/>
  <c r="AZ34" i="1" s="1"/>
  <c r="AV34" i="1"/>
  <c r="AU34" i="1"/>
  <c r="AS34" i="1"/>
  <c r="AR34" i="1"/>
  <c r="AQ34" i="1"/>
  <c r="AP34" i="1"/>
  <c r="AO34" i="1"/>
  <c r="AL34" i="1"/>
  <c r="AI34" i="1"/>
  <c r="AF34" i="1"/>
  <c r="AC34" i="1"/>
  <c r="Z34" i="1"/>
  <c r="W34" i="1"/>
  <c r="T34" i="1"/>
  <c r="Q34" i="1"/>
  <c r="N34" i="1"/>
  <c r="H34" i="1"/>
  <c r="AW34" i="1" s="1"/>
  <c r="E34" i="1"/>
  <c r="BI34" i="1" s="1"/>
  <c r="BK33" i="1"/>
  <c r="BJ33" i="1"/>
  <c r="BN33" i="1" s="1"/>
  <c r="BH33" i="1"/>
  <c r="BG33" i="1"/>
  <c r="BE33" i="1"/>
  <c r="BD33" i="1"/>
  <c r="BB33" i="1"/>
  <c r="BA33" i="1"/>
  <c r="AY33" i="1"/>
  <c r="AX33" i="1"/>
  <c r="AU33" i="1"/>
  <c r="AS33" i="1"/>
  <c r="AV33" i="1" s="1"/>
  <c r="AR33" i="1"/>
  <c r="AT33" i="1" s="1"/>
  <c r="AQ33" i="1"/>
  <c r="AP33" i="1"/>
  <c r="AO33" i="1"/>
  <c r="AL33" i="1"/>
  <c r="AI33" i="1"/>
  <c r="AF33" i="1"/>
  <c r="AC33" i="1"/>
  <c r="Z33" i="1"/>
  <c r="W33" i="1"/>
  <c r="T33" i="1"/>
  <c r="Q33" i="1"/>
  <c r="N33" i="1"/>
  <c r="K33" i="1"/>
  <c r="H33" i="1"/>
  <c r="E33" i="1"/>
  <c r="BI33" i="1" s="1"/>
  <c r="BK32" i="1"/>
  <c r="BJ32" i="1"/>
  <c r="BM32" i="1" s="1"/>
  <c r="BH32" i="1"/>
  <c r="BG32" i="1"/>
  <c r="BE32" i="1"/>
  <c r="BD32" i="1"/>
  <c r="BB32" i="1"/>
  <c r="BA32" i="1"/>
  <c r="AY32" i="1"/>
  <c r="AX32" i="1"/>
  <c r="AZ32" i="1" s="1"/>
  <c r="AS32" i="1"/>
  <c r="AV32" i="1" s="1"/>
  <c r="AR32" i="1"/>
  <c r="AU32" i="1" s="1"/>
  <c r="AQ32" i="1"/>
  <c r="AP32" i="1"/>
  <c r="AO32" i="1"/>
  <c r="AL32" i="1"/>
  <c r="AI32" i="1"/>
  <c r="AF32" i="1"/>
  <c r="AC32" i="1"/>
  <c r="Z32" i="1"/>
  <c r="W32" i="1"/>
  <c r="T32" i="1"/>
  <c r="Q32" i="1"/>
  <c r="N32" i="1"/>
  <c r="H32" i="1"/>
  <c r="E32" i="1"/>
  <c r="BI32" i="1" s="1"/>
  <c r="BK31" i="1"/>
  <c r="BJ31" i="1"/>
  <c r="BN31" i="1" s="1"/>
  <c r="BH31" i="1"/>
  <c r="BG31" i="1"/>
  <c r="BE31" i="1"/>
  <c r="BD31" i="1"/>
  <c r="BF31" i="1" s="1"/>
  <c r="BB31" i="1"/>
  <c r="BA31" i="1"/>
  <c r="AY31" i="1"/>
  <c r="AX31" i="1"/>
  <c r="AV31" i="1"/>
  <c r="AU31" i="1"/>
  <c r="AS31" i="1"/>
  <c r="AR31" i="1"/>
  <c r="AT31" i="1" s="1"/>
  <c r="AQ31" i="1"/>
  <c r="AP31" i="1"/>
  <c r="AO31" i="1"/>
  <c r="AL31" i="1"/>
  <c r="AI31" i="1"/>
  <c r="AF31" i="1"/>
  <c r="AC31" i="1"/>
  <c r="Z31" i="1"/>
  <c r="W31" i="1"/>
  <c r="T31" i="1"/>
  <c r="Q31" i="1"/>
  <c r="N31" i="1"/>
  <c r="K31" i="1"/>
  <c r="H31" i="1"/>
  <c r="AW31" i="1" s="1"/>
  <c r="E31" i="1"/>
  <c r="BI31" i="1" s="1"/>
  <c r="BK30" i="1"/>
  <c r="BJ30" i="1"/>
  <c r="BM30" i="1" s="1"/>
  <c r="BI30" i="1"/>
  <c r="BH30" i="1"/>
  <c r="BG30" i="1"/>
  <c r="BE30" i="1"/>
  <c r="BD30" i="1"/>
  <c r="BB30" i="1"/>
  <c r="BA30" i="1"/>
  <c r="AY30" i="1"/>
  <c r="AZ30" i="1" s="1"/>
  <c r="AX30" i="1"/>
  <c r="AV30" i="1"/>
  <c r="AU30" i="1"/>
  <c r="AS30" i="1"/>
  <c r="AR30" i="1"/>
  <c r="AQ30" i="1"/>
  <c r="AP30" i="1"/>
  <c r="AO30" i="1"/>
  <c r="AL30" i="1"/>
  <c r="AI30" i="1"/>
  <c r="AF30" i="1"/>
  <c r="AC30" i="1"/>
  <c r="Z30" i="1"/>
  <c r="W30" i="1"/>
  <c r="T30" i="1"/>
  <c r="Q30" i="1"/>
  <c r="N30" i="1"/>
  <c r="H30" i="1"/>
  <c r="BC30" i="1" s="1"/>
  <c r="E30" i="1"/>
  <c r="BK29" i="1"/>
  <c r="BJ29" i="1"/>
  <c r="BM29" i="1" s="1"/>
  <c r="BI29" i="1"/>
  <c r="BH29" i="1"/>
  <c r="BG29" i="1"/>
  <c r="BE29" i="1"/>
  <c r="BF29" i="1" s="1"/>
  <c r="BD29" i="1"/>
  <c r="BB29" i="1"/>
  <c r="BA29" i="1"/>
  <c r="AY29" i="1"/>
  <c r="AX29" i="1"/>
  <c r="AW29" i="1"/>
  <c r="AV29" i="1"/>
  <c r="AU29" i="1"/>
  <c r="AS29" i="1"/>
  <c r="AR29" i="1"/>
  <c r="AQ29" i="1"/>
  <c r="AP29" i="1"/>
  <c r="AO29" i="1"/>
  <c r="AL29" i="1"/>
  <c r="AI29" i="1"/>
  <c r="AF29" i="1"/>
  <c r="AC29" i="1"/>
  <c r="Z29" i="1"/>
  <c r="W29" i="1"/>
  <c r="T29" i="1"/>
  <c r="Q29" i="1"/>
  <c r="N29" i="1"/>
  <c r="K29" i="1"/>
  <c r="H29" i="1"/>
  <c r="BC29" i="1" s="1"/>
  <c r="E29" i="1"/>
  <c r="BK28" i="1"/>
  <c r="BJ28" i="1"/>
  <c r="BN28" i="1" s="1"/>
  <c r="BH28" i="1"/>
  <c r="BG28" i="1"/>
  <c r="BE28" i="1"/>
  <c r="BD28" i="1"/>
  <c r="BF28" i="1" s="1"/>
  <c r="BB28" i="1"/>
  <c r="BA28" i="1"/>
  <c r="AY28" i="1"/>
  <c r="AX28" i="1"/>
  <c r="AZ28" i="1" s="1"/>
  <c r="AV28" i="1"/>
  <c r="AS28" i="1"/>
  <c r="AR28" i="1"/>
  <c r="AU28" i="1" s="1"/>
  <c r="AQ28" i="1"/>
  <c r="AP28" i="1"/>
  <c r="AO28" i="1"/>
  <c r="AL28" i="1"/>
  <c r="AI28" i="1"/>
  <c r="AF28" i="1"/>
  <c r="AC28" i="1"/>
  <c r="Z28" i="1"/>
  <c r="W28" i="1"/>
  <c r="T28" i="1"/>
  <c r="Q28" i="1"/>
  <c r="N28" i="1"/>
  <c r="H28" i="1"/>
  <c r="BC28" i="1" s="1"/>
  <c r="E28" i="1"/>
  <c r="BI28" i="1" s="1"/>
  <c r="BK27" i="1"/>
  <c r="BJ27" i="1"/>
  <c r="BN27" i="1" s="1"/>
  <c r="BH27" i="1"/>
  <c r="BG27" i="1"/>
  <c r="BE27" i="1"/>
  <c r="BD27" i="1"/>
  <c r="BB27" i="1"/>
  <c r="BA27" i="1"/>
  <c r="AY27" i="1"/>
  <c r="AX27" i="1"/>
  <c r="AS27" i="1"/>
  <c r="AV27" i="1" s="1"/>
  <c r="AR27" i="1"/>
  <c r="AU27" i="1" s="1"/>
  <c r="AQ27" i="1"/>
  <c r="AP27" i="1"/>
  <c r="AO27" i="1"/>
  <c r="AL27" i="1"/>
  <c r="AI27" i="1"/>
  <c r="AF27" i="1"/>
  <c r="AC27" i="1"/>
  <c r="Z27" i="1"/>
  <c r="W27" i="1"/>
  <c r="T27" i="1"/>
  <c r="Q27" i="1"/>
  <c r="N27" i="1"/>
  <c r="K27" i="1"/>
  <c r="H27" i="1"/>
  <c r="E27" i="1"/>
  <c r="BK26" i="1"/>
  <c r="BJ26" i="1"/>
  <c r="BN26" i="1" s="1"/>
  <c r="BH26" i="1"/>
  <c r="BG26" i="1"/>
  <c r="BE26" i="1"/>
  <c r="BD26" i="1"/>
  <c r="BF26" i="1" s="1"/>
  <c r="BB26" i="1"/>
  <c r="BA26" i="1"/>
  <c r="AY26" i="1"/>
  <c r="AX26" i="1"/>
  <c r="AZ26" i="1" s="1"/>
  <c r="AV26" i="1"/>
  <c r="AS26" i="1"/>
  <c r="AT26" i="1" s="1"/>
  <c r="AR26" i="1"/>
  <c r="AU26" i="1" s="1"/>
  <c r="AQ26" i="1"/>
  <c r="AP26" i="1"/>
  <c r="AO26" i="1"/>
  <c r="AL26" i="1"/>
  <c r="AI26" i="1"/>
  <c r="AF26" i="1"/>
  <c r="AC26" i="1"/>
  <c r="Z26" i="1"/>
  <c r="W26" i="1"/>
  <c r="T26" i="1"/>
  <c r="Q26" i="1"/>
  <c r="N26" i="1"/>
  <c r="H26" i="1"/>
  <c r="BC26" i="1" s="1"/>
  <c r="E26" i="1"/>
  <c r="BI26" i="1" s="1"/>
  <c r="BK25" i="1"/>
  <c r="BJ25" i="1"/>
  <c r="BL25" i="1" s="1"/>
  <c r="BO25" i="1" s="1"/>
  <c r="BH25" i="1"/>
  <c r="BG25" i="1"/>
  <c r="BE25" i="1"/>
  <c r="BD25" i="1"/>
  <c r="BB25" i="1"/>
  <c r="BA25" i="1"/>
  <c r="AY25" i="1"/>
  <c r="AX25" i="1"/>
  <c r="AS25" i="1"/>
  <c r="AV25" i="1" s="1"/>
  <c r="AR25" i="1"/>
  <c r="AU25" i="1" s="1"/>
  <c r="AQ25" i="1"/>
  <c r="AP25" i="1"/>
  <c r="AO25" i="1"/>
  <c r="AL25" i="1"/>
  <c r="AI25" i="1"/>
  <c r="AF25" i="1"/>
  <c r="AC25" i="1"/>
  <c r="Z25" i="1"/>
  <c r="W25" i="1"/>
  <c r="T25" i="1"/>
  <c r="Q25" i="1"/>
  <c r="N25" i="1"/>
  <c r="K25" i="1"/>
  <c r="H25" i="1"/>
  <c r="E25" i="1"/>
  <c r="BI25" i="1" s="1"/>
  <c r="BK24" i="1"/>
  <c r="BJ24" i="1"/>
  <c r="BM24" i="1" s="1"/>
  <c r="BH24" i="1"/>
  <c r="BG24" i="1"/>
  <c r="BE24" i="1"/>
  <c r="BD24" i="1"/>
  <c r="BF24" i="1" s="1"/>
  <c r="BB24" i="1"/>
  <c r="BA24" i="1"/>
  <c r="AY24" i="1"/>
  <c r="AX24" i="1"/>
  <c r="AS24" i="1"/>
  <c r="AV24" i="1" s="1"/>
  <c r="AR24" i="1"/>
  <c r="AU24" i="1" s="1"/>
  <c r="AQ24" i="1"/>
  <c r="AP24" i="1"/>
  <c r="AO24" i="1"/>
  <c r="AL24" i="1"/>
  <c r="AI24" i="1"/>
  <c r="AF24" i="1"/>
  <c r="AC24" i="1"/>
  <c r="Z24" i="1"/>
  <c r="W24" i="1"/>
  <c r="T24" i="1"/>
  <c r="Q24" i="1"/>
  <c r="N24" i="1"/>
  <c r="H24" i="1"/>
  <c r="E24" i="1"/>
  <c r="BK23" i="1"/>
  <c r="BJ23" i="1"/>
  <c r="BH23" i="1"/>
  <c r="BG23" i="1"/>
  <c r="BE23" i="1"/>
  <c r="BD23" i="1"/>
  <c r="BB23" i="1"/>
  <c r="BA23" i="1"/>
  <c r="AY23" i="1"/>
  <c r="AX23" i="1"/>
  <c r="AS23" i="1"/>
  <c r="AR23" i="1"/>
  <c r="AU23" i="1" s="1"/>
  <c r="AQ23" i="1"/>
  <c r="AP23" i="1"/>
  <c r="AO23" i="1"/>
  <c r="AL23" i="1"/>
  <c r="AI23" i="1"/>
  <c r="AF23" i="1"/>
  <c r="AC23" i="1"/>
  <c r="Z23" i="1"/>
  <c r="W23" i="1"/>
  <c r="T23" i="1"/>
  <c r="Q23" i="1"/>
  <c r="N23" i="1"/>
  <c r="K23" i="1"/>
  <c r="H23" i="1"/>
  <c r="E23" i="1"/>
  <c r="BI23" i="1" s="1"/>
  <c r="BK22" i="1"/>
  <c r="BJ22" i="1"/>
  <c r="BM22" i="1" s="1"/>
  <c r="BH22" i="1"/>
  <c r="BG22" i="1"/>
  <c r="BE22" i="1"/>
  <c r="BD22" i="1"/>
  <c r="BB22" i="1"/>
  <c r="BA22" i="1"/>
  <c r="AY22" i="1"/>
  <c r="AX22" i="1"/>
  <c r="AS22" i="1"/>
  <c r="AV22" i="1" s="1"/>
  <c r="AR22" i="1"/>
  <c r="AU22" i="1" s="1"/>
  <c r="AQ22" i="1"/>
  <c r="AP22" i="1"/>
  <c r="AO22" i="1"/>
  <c r="AL22" i="1"/>
  <c r="AI22" i="1"/>
  <c r="AF22" i="1"/>
  <c r="AC22" i="1"/>
  <c r="Z22" i="1"/>
  <c r="W22" i="1"/>
  <c r="T22" i="1"/>
  <c r="Q22" i="1"/>
  <c r="N22" i="1"/>
  <c r="K22" i="1"/>
  <c r="H22" i="1"/>
  <c r="E22" i="1"/>
  <c r="BI22" i="1" s="1"/>
  <c r="BK21" i="1"/>
  <c r="BJ21" i="1"/>
  <c r="BN21" i="1" s="1"/>
  <c r="BH21" i="1"/>
  <c r="BG21" i="1"/>
  <c r="BE21" i="1"/>
  <c r="BD21" i="1"/>
  <c r="BB21" i="1"/>
  <c r="BA21" i="1"/>
  <c r="AY21" i="1"/>
  <c r="AZ21" i="1" s="1"/>
  <c r="AX21" i="1"/>
  <c r="AU21" i="1"/>
  <c r="AS21" i="1"/>
  <c r="AV21" i="1" s="1"/>
  <c r="AR21" i="1"/>
  <c r="AQ21" i="1"/>
  <c r="AP21" i="1"/>
  <c r="AO21" i="1"/>
  <c r="AL21" i="1"/>
  <c r="AI21" i="1"/>
  <c r="AF21" i="1"/>
  <c r="AC21" i="1"/>
  <c r="Z21" i="1"/>
  <c r="W21" i="1"/>
  <c r="T21" i="1"/>
  <c r="Q21" i="1"/>
  <c r="N21" i="1"/>
  <c r="K21" i="1"/>
  <c r="H21" i="1"/>
  <c r="E21" i="1"/>
  <c r="BI21" i="1" s="1"/>
  <c r="BK20" i="1"/>
  <c r="BJ20" i="1"/>
  <c r="BM20" i="1" s="1"/>
  <c r="BH20" i="1"/>
  <c r="BG20" i="1"/>
  <c r="BE20" i="1"/>
  <c r="BD20" i="1"/>
  <c r="BB20" i="1"/>
  <c r="BA20" i="1"/>
  <c r="AY20" i="1"/>
  <c r="AX20" i="1"/>
  <c r="AZ20" i="1" s="1"/>
  <c r="AS20" i="1"/>
  <c r="AV20" i="1" s="1"/>
  <c r="AR20" i="1"/>
  <c r="AU20" i="1" s="1"/>
  <c r="AQ20" i="1"/>
  <c r="AP20" i="1"/>
  <c r="AO20" i="1"/>
  <c r="AL20" i="1"/>
  <c r="AI20" i="1"/>
  <c r="AF20" i="1"/>
  <c r="AC20" i="1"/>
  <c r="Z20" i="1"/>
  <c r="W20" i="1"/>
  <c r="T20" i="1"/>
  <c r="Q20" i="1"/>
  <c r="N20" i="1"/>
  <c r="H20" i="1"/>
  <c r="E20" i="1"/>
  <c r="BI20" i="1" s="1"/>
  <c r="BK19" i="1"/>
  <c r="BJ19" i="1"/>
  <c r="BN19" i="1" s="1"/>
  <c r="BH19" i="1"/>
  <c r="BG19" i="1"/>
  <c r="BE19" i="1"/>
  <c r="BD19" i="1"/>
  <c r="BF19" i="1" s="1"/>
  <c r="BB19" i="1"/>
  <c r="BA19" i="1"/>
  <c r="AY19" i="1"/>
  <c r="AX19" i="1"/>
  <c r="AU19" i="1"/>
  <c r="AS19" i="1"/>
  <c r="AV19" i="1" s="1"/>
  <c r="AR19" i="1"/>
  <c r="AT19" i="1" s="1"/>
  <c r="AQ19" i="1"/>
  <c r="AP19" i="1"/>
  <c r="AO19" i="1"/>
  <c r="AL19" i="1"/>
  <c r="AI19" i="1"/>
  <c r="AF19" i="1"/>
  <c r="AC19" i="1"/>
  <c r="Z19" i="1"/>
  <c r="W19" i="1"/>
  <c r="T19" i="1"/>
  <c r="Q19" i="1"/>
  <c r="N19" i="1"/>
  <c r="K19" i="1"/>
  <c r="H19" i="1"/>
  <c r="E19" i="1"/>
  <c r="BI19" i="1" s="1"/>
  <c r="BK18" i="1"/>
  <c r="BJ18" i="1"/>
  <c r="BM18" i="1" s="1"/>
  <c r="BH18" i="1"/>
  <c r="BG18" i="1"/>
  <c r="BE18" i="1"/>
  <c r="BD18" i="1"/>
  <c r="BF18" i="1" s="1"/>
  <c r="BB18" i="1"/>
  <c r="BA18" i="1"/>
  <c r="AY18" i="1"/>
  <c r="AX18" i="1"/>
  <c r="AZ18" i="1" s="1"/>
  <c r="AV18" i="1"/>
  <c r="AS18" i="1"/>
  <c r="AR18" i="1"/>
  <c r="AU18" i="1" s="1"/>
  <c r="AQ18" i="1"/>
  <c r="AP18" i="1"/>
  <c r="AO18" i="1"/>
  <c r="AL18" i="1"/>
  <c r="AI18" i="1"/>
  <c r="AF18" i="1"/>
  <c r="AC18" i="1"/>
  <c r="Z18" i="1"/>
  <c r="W18" i="1"/>
  <c r="T18" i="1"/>
  <c r="Q18" i="1"/>
  <c r="N18" i="1"/>
  <c r="H18" i="1"/>
  <c r="BC18" i="1" s="1"/>
  <c r="E18" i="1"/>
  <c r="BK17" i="1"/>
  <c r="BJ17" i="1"/>
  <c r="BM17" i="1" s="1"/>
  <c r="BH17" i="1"/>
  <c r="BG17" i="1"/>
  <c r="BE17" i="1"/>
  <c r="BD17" i="1"/>
  <c r="BB17" i="1"/>
  <c r="BA17" i="1"/>
  <c r="AY17" i="1"/>
  <c r="AX17" i="1"/>
  <c r="AU17" i="1"/>
  <c r="AS17" i="1"/>
  <c r="AV17" i="1" s="1"/>
  <c r="AR17" i="1"/>
  <c r="AQ17" i="1"/>
  <c r="AP17" i="1"/>
  <c r="AO17" i="1"/>
  <c r="AL17" i="1"/>
  <c r="AI17" i="1"/>
  <c r="AF17" i="1"/>
  <c r="AC17" i="1"/>
  <c r="Z17" i="1"/>
  <c r="W17" i="1"/>
  <c r="T17" i="1"/>
  <c r="Q17" i="1"/>
  <c r="N17" i="1"/>
  <c r="K17" i="1"/>
  <c r="H17" i="1"/>
  <c r="E17" i="1"/>
  <c r="BI17" i="1" s="1"/>
  <c r="BK16" i="1"/>
  <c r="BJ16" i="1"/>
  <c r="BH16" i="1"/>
  <c r="BG16" i="1"/>
  <c r="BE16" i="1"/>
  <c r="BD16" i="1"/>
  <c r="BF16" i="1" s="1"/>
  <c r="BB16" i="1"/>
  <c r="BA16" i="1"/>
  <c r="AY16" i="1"/>
  <c r="AX16" i="1"/>
  <c r="AS16" i="1"/>
  <c r="AV16" i="1" s="1"/>
  <c r="AR16" i="1"/>
  <c r="AQ16" i="1"/>
  <c r="AP16" i="1"/>
  <c r="AO16" i="1"/>
  <c r="AL16" i="1"/>
  <c r="AI16" i="1"/>
  <c r="AF16" i="1"/>
  <c r="AC16" i="1"/>
  <c r="Z16" i="1"/>
  <c r="W16" i="1"/>
  <c r="T16" i="1"/>
  <c r="Q16" i="1"/>
  <c r="N16" i="1"/>
  <c r="H16" i="1"/>
  <c r="E16" i="1"/>
  <c r="AQ15" i="1"/>
  <c r="AP15" i="1"/>
  <c r="BK14" i="1"/>
  <c r="BL14" i="1" s="1"/>
  <c r="BO14" i="1" s="1"/>
  <c r="BJ14" i="1"/>
  <c r="BI14" i="1"/>
  <c r="BH14" i="1"/>
  <c r="BG14" i="1"/>
  <c r="BE14" i="1"/>
  <c r="BF14" i="1" s="1"/>
  <c r="BD14" i="1"/>
  <c r="BC14" i="1"/>
  <c r="BB14" i="1"/>
  <c r="BA14" i="1"/>
  <c r="AY14" i="1"/>
  <c r="AZ14" i="1" s="1"/>
  <c r="AX14" i="1"/>
  <c r="AW14" i="1"/>
  <c r="AV14" i="1"/>
  <c r="AU14" i="1"/>
  <c r="AS14" i="1"/>
  <c r="AT14" i="1" s="1"/>
  <c r="AR14" i="1"/>
  <c r="AQ14" i="1"/>
  <c r="AP14" i="1"/>
  <c r="AO14" i="1"/>
  <c r="AL14" i="1"/>
  <c r="AI14" i="1"/>
  <c r="AF14" i="1"/>
  <c r="AC14" i="1"/>
  <c r="Z14" i="1"/>
  <c r="W14" i="1"/>
  <c r="T14" i="1"/>
  <c r="Q14" i="1"/>
  <c r="N14" i="1"/>
  <c r="K14" i="1"/>
  <c r="H14" i="1"/>
  <c r="E14" i="1"/>
  <c r="BK13" i="1"/>
  <c r="BJ13" i="1"/>
  <c r="BH13" i="1"/>
  <c r="BG13" i="1"/>
  <c r="BE13" i="1"/>
  <c r="BD13" i="1"/>
  <c r="BF13" i="1" s="1"/>
  <c r="BB13" i="1"/>
  <c r="BA13" i="1"/>
  <c r="AY13" i="1"/>
  <c r="AX13" i="1"/>
  <c r="AS13" i="1"/>
  <c r="AV13" i="1" s="1"/>
  <c r="AR13" i="1"/>
  <c r="AU13" i="1" s="1"/>
  <c r="AQ13" i="1"/>
  <c r="AP13" i="1"/>
  <c r="AO13" i="1"/>
  <c r="AL13" i="1"/>
  <c r="AI13" i="1"/>
  <c r="AF13" i="1"/>
  <c r="AC13" i="1"/>
  <c r="Z13" i="1"/>
  <c r="W13" i="1"/>
  <c r="T13" i="1"/>
  <c r="N13" i="1"/>
  <c r="K13" i="1"/>
  <c r="H13" i="1"/>
  <c r="E13" i="1"/>
  <c r="BI13" i="1" s="1"/>
  <c r="BK12" i="1"/>
  <c r="BJ12" i="1"/>
  <c r="BF12" i="1"/>
  <c r="BB12" i="1"/>
  <c r="BA12" i="1"/>
  <c r="AY12" i="1"/>
  <c r="AX12" i="1"/>
  <c r="AQ12" i="1"/>
  <c r="AP12" i="1"/>
  <c r="AO12" i="1"/>
  <c r="AL12" i="1"/>
  <c r="AI12" i="1"/>
  <c r="AF12" i="1"/>
  <c r="AC12" i="1"/>
  <c r="Z12" i="1"/>
  <c r="W12" i="1"/>
  <c r="T12" i="1"/>
  <c r="Q12" i="1"/>
  <c r="N12" i="1"/>
  <c r="H12" i="1"/>
  <c r="E12" i="1"/>
  <c r="BI12" i="1" s="1"/>
  <c r="BN11" i="1"/>
  <c r="BM11" i="1"/>
  <c r="BL11" i="1"/>
  <c r="BO11" i="1" s="1"/>
  <c r="BF11" i="1"/>
  <c r="BB11" i="1"/>
  <c r="BA11" i="1"/>
  <c r="AU11" i="1"/>
  <c r="AQ11" i="1"/>
  <c r="AP11" i="1"/>
  <c r="AO11" i="1"/>
  <c r="AL11" i="1"/>
  <c r="AI11" i="1"/>
  <c r="AF11" i="1"/>
  <c r="AC11" i="1"/>
  <c r="Z11" i="1"/>
  <c r="W11" i="1"/>
  <c r="T11" i="1"/>
  <c r="Q11" i="1"/>
  <c r="N11" i="1"/>
  <c r="H11" i="1"/>
  <c r="E11" i="1"/>
  <c r="BN10" i="1"/>
  <c r="BM10" i="1"/>
  <c r="BL10" i="1"/>
  <c r="BO10" i="1" s="1"/>
  <c r="BF10" i="1"/>
  <c r="AQ10" i="1"/>
  <c r="AP10" i="1"/>
  <c r="AO10" i="1"/>
  <c r="AL10" i="1"/>
  <c r="AI10" i="1"/>
  <c r="AF10" i="1"/>
  <c r="AC10" i="1"/>
  <c r="Z10" i="1"/>
  <c r="W10" i="1"/>
  <c r="T10" i="1"/>
  <c r="Q10" i="1"/>
  <c r="N10" i="1"/>
  <c r="H10" i="1"/>
  <c r="E10" i="1"/>
  <c r="BI10" i="1" s="1"/>
  <c r="AR5" i="1"/>
  <c r="AZ47" i="1" l="1"/>
  <c r="BC47" i="1" s="1"/>
  <c r="AZ46" i="1"/>
  <c r="AZ27" i="1"/>
  <c r="BC27" i="1" s="1"/>
  <c r="AZ24" i="1"/>
  <c r="BC24" i="1"/>
  <c r="AT24" i="1"/>
  <c r="AW24" i="1" s="1"/>
  <c r="AZ22" i="1"/>
  <c r="AZ16" i="1"/>
  <c r="BC16" i="1"/>
  <c r="AZ13" i="1"/>
  <c r="BC13" i="1" s="1"/>
  <c r="AT11" i="1"/>
  <c r="AW11" i="1" s="1"/>
  <c r="AT10" i="1"/>
  <c r="AW10" i="1" s="1"/>
  <c r="AZ10" i="1"/>
  <c r="BC10" i="1" s="1"/>
  <c r="BM27" i="1"/>
  <c r="BL22" i="1"/>
  <c r="BO22" i="1" s="1"/>
  <c r="BN22" i="1"/>
  <c r="BN16" i="1"/>
  <c r="BN12" i="1"/>
  <c r="BI47" i="1"/>
  <c r="BI46" i="1"/>
  <c r="BI27" i="1"/>
  <c r="BI24" i="1"/>
  <c r="BI16" i="1"/>
  <c r="BI11" i="1"/>
  <c r="AZ45" i="1"/>
  <c r="AZ41" i="1"/>
  <c r="AZ17" i="1"/>
  <c r="AZ33" i="1"/>
  <c r="AZ39" i="1"/>
  <c r="AZ35" i="1"/>
  <c r="AZ36" i="1"/>
  <c r="AZ29" i="1"/>
  <c r="AZ19" i="1"/>
  <c r="AZ31" i="1"/>
  <c r="AZ37" i="1"/>
  <c r="BC37" i="1" s="1"/>
  <c r="AZ53" i="1"/>
  <c r="AZ23" i="1"/>
  <c r="BC23" i="1" s="1"/>
  <c r="AZ25" i="1"/>
  <c r="AT30" i="1"/>
  <c r="AT16" i="1"/>
  <c r="AW16" i="1" s="1"/>
  <c r="AT34" i="1"/>
  <c r="AT48" i="1"/>
  <c r="AT28" i="1"/>
  <c r="AT29" i="1"/>
  <c r="AT50" i="1"/>
  <c r="AT41" i="1"/>
  <c r="AT40" i="1"/>
  <c r="AT36" i="1"/>
  <c r="AT42" i="1"/>
  <c r="AT53" i="1"/>
  <c r="AT35" i="1"/>
  <c r="AT51" i="1"/>
  <c r="AT44" i="1"/>
  <c r="AT38" i="1"/>
  <c r="AT23" i="1"/>
  <c r="AW23" i="1" s="1"/>
  <c r="AT27" i="1"/>
  <c r="AW27" i="1" s="1"/>
  <c r="AT46" i="1"/>
  <c r="AW46" i="1" s="1"/>
  <c r="AT47" i="1"/>
  <c r="AW47" i="1" s="1"/>
  <c r="BL34" i="1"/>
  <c r="BO34" i="1" s="1"/>
  <c r="BM39" i="1"/>
  <c r="BM47" i="1"/>
  <c r="BM21" i="1"/>
  <c r="BL42" i="1"/>
  <c r="BO42" i="1" s="1"/>
  <c r="BL18" i="1"/>
  <c r="BO18" i="1" s="1"/>
  <c r="BL30" i="1"/>
  <c r="BO30" i="1" s="1"/>
  <c r="BL41" i="1"/>
  <c r="BO41" i="1" s="1"/>
  <c r="BN42" i="1"/>
  <c r="BL20" i="1"/>
  <c r="BO20" i="1" s="1"/>
  <c r="BN25" i="1"/>
  <c r="BN30" i="1"/>
  <c r="BN46" i="1"/>
  <c r="BN20" i="1"/>
  <c r="BM25" i="1"/>
  <c r="BL32" i="1"/>
  <c r="BO32" i="1" s="1"/>
  <c r="BL45" i="1"/>
  <c r="BO45" i="1" s="1"/>
  <c r="BM33" i="1"/>
  <c r="BL29" i="1"/>
  <c r="BO29" i="1" s="1"/>
  <c r="BL46" i="1"/>
  <c r="BO46" i="1" s="1"/>
  <c r="BN18" i="1"/>
  <c r="BN23" i="1"/>
  <c r="BL17" i="1"/>
  <c r="BO17" i="1" s="1"/>
  <c r="BL27" i="1"/>
  <c r="BO27" i="1" s="1"/>
  <c r="BN32" i="1"/>
  <c r="BM34" i="1"/>
  <c r="BN35" i="1"/>
  <c r="BN37" i="1"/>
  <c r="BN39" i="1"/>
  <c r="BL40" i="1"/>
  <c r="BO40" i="1" s="1"/>
  <c r="BM48" i="1"/>
  <c r="BL52" i="1"/>
  <c r="BO52" i="1" s="1"/>
  <c r="BL53" i="1"/>
  <c r="BO53" i="1" s="1"/>
  <c r="BL54" i="1"/>
  <c r="BO54" i="1" s="1"/>
  <c r="BC31" i="1"/>
  <c r="BF53" i="1"/>
  <c r="AW19" i="1"/>
  <c r="BF23" i="1"/>
  <c r="K18" i="1"/>
  <c r="BC51" i="1"/>
  <c r="BC19" i="1"/>
  <c r="BF47" i="1"/>
  <c r="BF50" i="1"/>
  <c r="K51" i="1"/>
  <c r="BC25" i="1"/>
  <c r="K24" i="1"/>
  <c r="BF38" i="1"/>
  <c r="AW41" i="1"/>
  <c r="BC43" i="1"/>
  <c r="BC55" i="1"/>
  <c r="BC39" i="1"/>
  <c r="BF20" i="1"/>
  <c r="BF25" i="1"/>
  <c r="K28" i="1"/>
  <c r="BF33" i="1"/>
  <c r="K34" i="1"/>
  <c r="K44" i="1"/>
  <c r="K45" i="1"/>
  <c r="K49" i="1"/>
  <c r="K52" i="1"/>
  <c r="BF52" i="1"/>
  <c r="BC17" i="1"/>
  <c r="BF32" i="1"/>
  <c r="AW33" i="1"/>
  <c r="K35" i="1"/>
  <c r="K36" i="1"/>
  <c r="BF36" i="1"/>
  <c r="K37" i="1"/>
  <c r="K47" i="1"/>
  <c r="K30" i="1"/>
  <c r="K50" i="1"/>
  <c r="BF17" i="1"/>
  <c r="K20" i="1"/>
  <c r="K26" i="1"/>
  <c r="BF27" i="1"/>
  <c r="K32" i="1"/>
  <c r="BF21" i="1"/>
  <c r="K38" i="1"/>
  <c r="BF41" i="1"/>
  <c r="K54" i="1"/>
  <c r="K42" i="1"/>
  <c r="BF51" i="1"/>
  <c r="K16" i="1"/>
  <c r="BF43" i="1"/>
  <c r="BF44" i="1"/>
  <c r="K56" i="1"/>
  <c r="BF35" i="1"/>
  <c r="BF22" i="1"/>
  <c r="BF30" i="1"/>
  <c r="K40" i="1"/>
  <c r="K46" i="1"/>
  <c r="K48" i="1"/>
  <c r="AZ12" i="1"/>
  <c r="BC12" i="1" s="1"/>
  <c r="AZ11" i="1"/>
  <c r="BC11" i="1" s="1"/>
  <c r="AR58" i="1"/>
  <c r="AU58" i="1" s="1"/>
  <c r="AT13" i="1"/>
  <c r="AW13" i="1" s="1"/>
  <c r="AT12" i="1"/>
  <c r="AW12" i="1" s="1"/>
  <c r="AS58" i="1"/>
  <c r="BM12" i="1"/>
  <c r="BM14" i="1"/>
  <c r="BL12" i="1"/>
  <c r="BM13" i="1"/>
  <c r="H58" i="1"/>
  <c r="BO12" i="1"/>
  <c r="I58" i="1"/>
  <c r="J58" i="1"/>
  <c r="K11" i="1"/>
  <c r="K12" i="1"/>
  <c r="BC21" i="1"/>
  <c r="BC33" i="1"/>
  <c r="BN24" i="1"/>
  <c r="BN36" i="1"/>
  <c r="BN48" i="1"/>
  <c r="BL26" i="1"/>
  <c r="BO26" i="1" s="1"/>
  <c r="BN40" i="1"/>
  <c r="BM45" i="1"/>
  <c r="BL50" i="1"/>
  <c r="BO50" i="1" s="1"/>
  <c r="AV12" i="1"/>
  <c r="BN14" i="1"/>
  <c r="AU16" i="1"/>
  <c r="BN17" i="1"/>
  <c r="BI18" i="1"/>
  <c r="AT21" i="1"/>
  <c r="AW21" i="1" s="1"/>
  <c r="AV23" i="1"/>
  <c r="BN29" i="1"/>
  <c r="AW30" i="1"/>
  <c r="BN41" i="1"/>
  <c r="AW42" i="1"/>
  <c r="BL51" i="1"/>
  <c r="BO51" i="1" s="1"/>
  <c r="AW54" i="1"/>
  <c r="E58" i="1"/>
  <c r="BN13" i="1"/>
  <c r="AT20" i="1"/>
  <c r="AW20" i="1" s="1"/>
  <c r="K10" i="1"/>
  <c r="BL13" i="1"/>
  <c r="BO13" i="1" s="1"/>
  <c r="BC22" i="1"/>
  <c r="AW28" i="1"/>
  <c r="BC34" i="1"/>
  <c r="AW40" i="1"/>
  <c r="BC46" i="1"/>
  <c r="AW52" i="1"/>
  <c r="AT17" i="1"/>
  <c r="AW17" i="1" s="1"/>
  <c r="BC20" i="1"/>
  <c r="BL23" i="1"/>
  <c r="BO23" i="1" s="1"/>
  <c r="AW26" i="1"/>
  <c r="BC32" i="1"/>
  <c r="BL35" i="1"/>
  <c r="BO35" i="1" s="1"/>
  <c r="AW38" i="1"/>
  <c r="BC44" i="1"/>
  <c r="BL47" i="1"/>
  <c r="BO47" i="1" s="1"/>
  <c r="AW50" i="1"/>
  <c r="AT22" i="1"/>
  <c r="AW22" i="1" s="1"/>
  <c r="BM23" i="1"/>
  <c r="BL28" i="1"/>
  <c r="BO28" i="1" s="1"/>
  <c r="BM35" i="1"/>
  <c r="BM16" i="1"/>
  <c r="BL21" i="1"/>
  <c r="BO21" i="1" s="1"/>
  <c r="BM28" i="1"/>
  <c r="BL33" i="1"/>
  <c r="BO33" i="1" s="1"/>
  <c r="AT39" i="1"/>
  <c r="AW39" i="1" s="1"/>
  <c r="BM52" i="1"/>
  <c r="BL16" i="1"/>
  <c r="BO16" i="1" s="1"/>
  <c r="AT32" i="1"/>
  <c r="AW32" i="1" s="1"/>
  <c r="BL38" i="1"/>
  <c r="BO38" i="1" s="1"/>
  <c r="BL19" i="1"/>
  <c r="BO19" i="1" s="1"/>
  <c r="AT25" i="1"/>
  <c r="AW25" i="1" s="1"/>
  <c r="BM26" i="1"/>
  <c r="BL31" i="1"/>
  <c r="BO31" i="1" s="1"/>
  <c r="AT37" i="1"/>
  <c r="AW37" i="1" s="1"/>
  <c r="BM38" i="1"/>
  <c r="BL43" i="1"/>
  <c r="BO43" i="1" s="1"/>
  <c r="BM50" i="1"/>
  <c r="BL55" i="1"/>
  <c r="BO55" i="1" s="1"/>
  <c r="AT18" i="1"/>
  <c r="AW18" i="1" s="1"/>
  <c r="BM19" i="1"/>
  <c r="BL24" i="1"/>
  <c r="BO24" i="1" s="1"/>
  <c r="BM31" i="1"/>
  <c r="BL36" i="1"/>
  <c r="BO36" i="1" s="1"/>
  <c r="BM43" i="1"/>
  <c r="BL48" i="1"/>
  <c r="BO48" i="1" s="1"/>
  <c r="BM55" i="1"/>
  <c r="K58" i="1" l="1"/>
  <c r="AT58" i="1"/>
</calcChain>
</file>

<file path=xl/sharedStrings.xml><?xml version="1.0" encoding="utf-8"?>
<sst xmlns="http://schemas.openxmlformats.org/spreadsheetml/2006/main" count="151" uniqueCount="86">
  <si>
    <t>GHANA EDUCATION SERVICE</t>
  </si>
  <si>
    <t>UPPER WEST REGION</t>
  </si>
  <si>
    <t>WASSCE 2024 SCHOOL RESULTS DETAILED  ANALYSIS</t>
  </si>
  <si>
    <t>WASSCE 2024 SCHOOL RESULT PROFILE ANALYSIS</t>
  </si>
  <si>
    <t>SCHOOL:</t>
  </si>
  <si>
    <t>S/N</t>
  </si>
  <si>
    <t>SUBJECTS</t>
  </si>
  <si>
    <t>CANDIDATES</t>
  </si>
  <si>
    <t>CANCELLED PAPER</t>
  </si>
  <si>
    <t>GRADES OBTAINED (NO. OF CANDIDATES)</t>
  </si>
  <si>
    <t>SN</t>
  </si>
  <si>
    <t>PASSED NO.</t>
  </si>
  <si>
    <t>PASSED %</t>
  </si>
  <si>
    <t>FAILED NO.</t>
  </si>
  <si>
    <t>FAILED %</t>
  </si>
  <si>
    <t>ABSENTEES NO.</t>
  </si>
  <si>
    <t>ABSENTEES %</t>
  </si>
  <si>
    <t>CANCELLED NO.</t>
  </si>
  <si>
    <t>CANCELLED %</t>
  </si>
  <si>
    <t>REGISTERED</t>
  </si>
  <si>
    <t>PRESENTED</t>
  </si>
  <si>
    <t>ABSENT</t>
  </si>
  <si>
    <t>A1</t>
  </si>
  <si>
    <t>B2</t>
  </si>
  <si>
    <t>B3</t>
  </si>
  <si>
    <t>C4</t>
  </si>
  <si>
    <t>C5</t>
  </si>
  <si>
    <t>C6</t>
  </si>
  <si>
    <t>D7</t>
  </si>
  <si>
    <t>E8</t>
  </si>
  <si>
    <t>F9</t>
  </si>
  <si>
    <t>B</t>
  </si>
  <si>
    <t>G</t>
  </si>
  <si>
    <t>T</t>
  </si>
  <si>
    <t>Core</t>
  </si>
  <si>
    <t>English Language</t>
  </si>
  <si>
    <t>Mathematics</t>
  </si>
  <si>
    <t>Integrated Science</t>
  </si>
  <si>
    <t>Social Studies</t>
  </si>
  <si>
    <t>ICT</t>
  </si>
  <si>
    <t>Elective</t>
  </si>
  <si>
    <t>Biology</t>
  </si>
  <si>
    <t>Chemistry</t>
  </si>
  <si>
    <t>Physics</t>
  </si>
  <si>
    <t>Mathematics (Elective)</t>
  </si>
  <si>
    <t>Government</t>
  </si>
  <si>
    <t>Geography</t>
  </si>
  <si>
    <t>Economics</t>
  </si>
  <si>
    <t>History</t>
  </si>
  <si>
    <t>Literature in English</t>
  </si>
  <si>
    <t>Ghanaian Language</t>
  </si>
  <si>
    <t>French</t>
  </si>
  <si>
    <t>Christian Religious Studies</t>
  </si>
  <si>
    <t xml:space="preserve">Islamic Religious Studies </t>
  </si>
  <si>
    <t>General Knowledge in Art</t>
  </si>
  <si>
    <t>Music</t>
  </si>
  <si>
    <t>ICT (Elective)</t>
  </si>
  <si>
    <t>General Agriculture</t>
  </si>
  <si>
    <t>Animal Husbandry</t>
  </si>
  <si>
    <t>Crop Husbandry</t>
  </si>
  <si>
    <t>Fisheries</t>
  </si>
  <si>
    <t>Forestry</t>
  </si>
  <si>
    <t>Financial Accounting</t>
  </si>
  <si>
    <t>Business Management</t>
  </si>
  <si>
    <t>Costing Accounting</t>
  </si>
  <si>
    <t>Auto Mechanics</t>
  </si>
  <si>
    <t>Building Construction</t>
  </si>
  <si>
    <t>Electronics</t>
  </si>
  <si>
    <t>Metal Work</t>
  </si>
  <si>
    <t>Technical Drawing</t>
  </si>
  <si>
    <t>Wood Work</t>
  </si>
  <si>
    <t>Management in Living</t>
  </si>
  <si>
    <t>Food and Nutrition</t>
  </si>
  <si>
    <t>Clothing and Textiles</t>
  </si>
  <si>
    <t>Textiles</t>
  </si>
  <si>
    <t>Graphic Design</t>
  </si>
  <si>
    <t>Picture Making</t>
  </si>
  <si>
    <t>Basketry</t>
  </si>
  <si>
    <t>Ceramics</t>
  </si>
  <si>
    <t>Jewelry</t>
  </si>
  <si>
    <t>Leather Work</t>
  </si>
  <si>
    <t>Sculpture</t>
  </si>
  <si>
    <t>Applied Electricity</t>
  </si>
  <si>
    <t>TOTAL</t>
  </si>
  <si>
    <t>Total</t>
  </si>
  <si>
    <t>ST. AUGUSTINE'S SHTS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</si>
</sst>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Aptos Narrow"/>
      <scheme val="minor"/>
    </font>
    <font>
      <sz val="7"/>
      <name val="Calibri"/>
      <family val="2"/>
    </font>
    <font>
      <b/>
      <i/>
      <sz val="7"/>
      <name val="Calibri"/>
      <family val="2"/>
    </font>
    <font>
      <sz val="11"/>
      <name val="Calibri"/>
      <family val="2"/>
    </font>
    <font>
      <b/>
      <sz val="7"/>
      <name val="Calibri"/>
      <family val="2"/>
    </font>
    <font>
      <i/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textRotation="90" wrapText="1"/>
    </xf>
    <xf numFmtId="0" fontId="2" fillId="0" borderId="11" xfId="0" applyFont="1" applyBorder="1" applyAlignment="1">
      <alignment horizontal="center" vertical="center" wrapText="1"/>
    </xf>
    <xf numFmtId="0" fontId="1" fillId="0" borderId="13" xfId="0" applyFont="1" applyBorder="1"/>
    <xf numFmtId="3" fontId="1" fillId="0" borderId="13" xfId="0" applyNumberFormat="1" applyFont="1" applyBorder="1"/>
    <xf numFmtId="3" fontId="1" fillId="2" borderId="13" xfId="0" applyNumberFormat="1" applyFont="1" applyFill="1" applyBorder="1"/>
    <xf numFmtId="9" fontId="1" fillId="0" borderId="13" xfId="0" applyNumberFormat="1" applyFont="1" applyBorder="1"/>
    <xf numFmtId="9" fontId="1" fillId="2" borderId="13" xfId="0" applyNumberFormat="1" applyFont="1" applyFill="1" applyBorder="1"/>
    <xf numFmtId="164" fontId="1" fillId="2" borderId="13" xfId="0" applyNumberFormat="1" applyFont="1" applyFill="1" applyBorder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3" fontId="1" fillId="0" borderId="1" xfId="0" applyNumberFormat="1" applyFont="1" applyBorder="1"/>
    <xf numFmtId="3" fontId="1" fillId="0" borderId="3" xfId="0" applyNumberFormat="1" applyFont="1" applyBorder="1"/>
    <xf numFmtId="9" fontId="1" fillId="0" borderId="3" xfId="0" applyNumberFormat="1" applyFont="1" applyBorder="1"/>
    <xf numFmtId="9" fontId="1" fillId="0" borderId="2" xfId="0" applyNumberFormat="1" applyFont="1" applyBorder="1"/>
    <xf numFmtId="0" fontId="1" fillId="0" borderId="1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textRotation="90" wrapText="1"/>
    </xf>
    <xf numFmtId="0" fontId="3" fillId="0" borderId="8" xfId="0" applyFont="1" applyBorder="1"/>
    <xf numFmtId="0" fontId="3" fillId="0" borderId="12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EE6E-6883-4115-A10E-46F8D3687489}">
  <dimension ref="A1:BO100"/>
  <sheetViews>
    <sheetView tabSelected="1" topLeftCell="W1" workbookViewId="0">
      <selection activeCell="AO47" sqref="AO47"/>
    </sheetView>
  </sheetViews>
  <sheetFormatPr defaultColWidth="14.4140625" defaultRowHeight="15" customHeight="1"/>
  <cols>
    <col min="1" max="1" width="2.6640625" customWidth="1"/>
    <col min="2" max="2" width="16.6640625" customWidth="1"/>
    <col min="3" max="41" width="3.08203125" customWidth="1"/>
    <col min="42" max="42" width="2.6640625" customWidth="1"/>
    <col min="43" max="43" width="16.6640625" customWidth="1"/>
    <col min="44" max="45" width="4.6640625" customWidth="1"/>
    <col min="46" max="46" width="3.4140625" customWidth="1"/>
    <col min="47" max="48" width="4.6640625" customWidth="1"/>
    <col min="49" max="49" width="3.9140625" customWidth="1"/>
    <col min="50" max="51" width="4.6640625" customWidth="1"/>
    <col min="52" max="52" width="3.9140625" customWidth="1"/>
    <col min="53" max="53" width="5.4140625" customWidth="1"/>
    <col min="54" max="54" width="5.33203125" customWidth="1"/>
    <col min="55" max="55" width="4" customWidth="1"/>
    <col min="56" max="66" width="4.6640625" customWidth="1"/>
    <col min="67" max="67" width="5.33203125" customWidth="1"/>
  </cols>
  <sheetData>
    <row r="1" spans="1:67" ht="15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1" t="s">
        <v>0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5" customHeight="1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1" t="s">
        <v>1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5" customHeight="1">
      <c r="A3" s="41" t="s">
        <v>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1" t="s">
        <v>3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9.75" customHeight="1">
      <c r="A4" s="43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5" customHeight="1">
      <c r="A5" s="35" t="s">
        <v>4</v>
      </c>
      <c r="B5" s="26"/>
      <c r="C5" s="36" t="s">
        <v>85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35" t="s">
        <v>4</v>
      </c>
      <c r="AQ5" s="26"/>
      <c r="AR5" s="36" t="str">
        <f>C5</f>
        <v>ST. AUGUSTINE'S SHTS</v>
      </c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6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>
      <c r="A6" s="37" t="s">
        <v>5</v>
      </c>
      <c r="B6" s="40" t="s">
        <v>6</v>
      </c>
      <c r="C6" s="28" t="s">
        <v>7</v>
      </c>
      <c r="D6" s="29"/>
      <c r="E6" s="29"/>
      <c r="F6" s="29"/>
      <c r="G6" s="29"/>
      <c r="H6" s="29"/>
      <c r="I6" s="29"/>
      <c r="J6" s="29"/>
      <c r="K6" s="30"/>
      <c r="L6" s="28" t="s">
        <v>8</v>
      </c>
      <c r="M6" s="29"/>
      <c r="N6" s="30"/>
      <c r="O6" s="24" t="s">
        <v>9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6"/>
      <c r="AP6" s="37" t="s">
        <v>10</v>
      </c>
      <c r="AQ6" s="40" t="s">
        <v>6</v>
      </c>
      <c r="AR6" s="28" t="s">
        <v>11</v>
      </c>
      <c r="AS6" s="29"/>
      <c r="AT6" s="30"/>
      <c r="AU6" s="28" t="s">
        <v>12</v>
      </c>
      <c r="AV6" s="29"/>
      <c r="AW6" s="30"/>
      <c r="AX6" s="28" t="s">
        <v>13</v>
      </c>
      <c r="AY6" s="29"/>
      <c r="AZ6" s="30"/>
      <c r="BA6" s="28" t="s">
        <v>14</v>
      </c>
      <c r="BB6" s="29"/>
      <c r="BC6" s="30"/>
      <c r="BD6" s="28" t="s">
        <v>15</v>
      </c>
      <c r="BE6" s="29"/>
      <c r="BF6" s="30"/>
      <c r="BG6" s="28" t="s">
        <v>16</v>
      </c>
      <c r="BH6" s="29"/>
      <c r="BI6" s="30"/>
      <c r="BJ6" s="28" t="s">
        <v>17</v>
      </c>
      <c r="BK6" s="29"/>
      <c r="BL6" s="30"/>
      <c r="BM6" s="28" t="s">
        <v>18</v>
      </c>
      <c r="BN6" s="29"/>
      <c r="BO6" s="30"/>
    </row>
    <row r="7" spans="1:67" ht="15" customHeight="1">
      <c r="A7" s="38"/>
      <c r="B7" s="38"/>
      <c r="C7" s="34" t="s">
        <v>19</v>
      </c>
      <c r="D7" s="25"/>
      <c r="E7" s="26"/>
      <c r="F7" s="24" t="s">
        <v>20</v>
      </c>
      <c r="G7" s="25"/>
      <c r="H7" s="26"/>
      <c r="I7" s="24" t="s">
        <v>21</v>
      </c>
      <c r="J7" s="25"/>
      <c r="K7" s="26"/>
      <c r="L7" s="31"/>
      <c r="M7" s="32"/>
      <c r="N7" s="33"/>
      <c r="O7" s="24" t="s">
        <v>22</v>
      </c>
      <c r="P7" s="25"/>
      <c r="Q7" s="26"/>
      <c r="R7" s="24" t="s">
        <v>23</v>
      </c>
      <c r="S7" s="25"/>
      <c r="T7" s="26"/>
      <c r="U7" s="24" t="s">
        <v>24</v>
      </c>
      <c r="V7" s="25"/>
      <c r="W7" s="26"/>
      <c r="X7" s="24" t="s">
        <v>25</v>
      </c>
      <c r="Y7" s="25"/>
      <c r="Z7" s="26"/>
      <c r="AA7" s="24" t="s">
        <v>26</v>
      </c>
      <c r="AB7" s="25"/>
      <c r="AC7" s="26"/>
      <c r="AD7" s="24" t="s">
        <v>27</v>
      </c>
      <c r="AE7" s="25"/>
      <c r="AF7" s="26"/>
      <c r="AG7" s="24" t="s">
        <v>28</v>
      </c>
      <c r="AH7" s="25"/>
      <c r="AI7" s="26"/>
      <c r="AJ7" s="24" t="s">
        <v>29</v>
      </c>
      <c r="AK7" s="25"/>
      <c r="AL7" s="26"/>
      <c r="AM7" s="24" t="s">
        <v>30</v>
      </c>
      <c r="AN7" s="25"/>
      <c r="AO7" s="26"/>
      <c r="AP7" s="38"/>
      <c r="AQ7" s="38"/>
      <c r="AR7" s="31"/>
      <c r="AS7" s="32"/>
      <c r="AT7" s="33"/>
      <c r="AU7" s="31"/>
      <c r="AV7" s="32"/>
      <c r="AW7" s="33"/>
      <c r="AX7" s="31"/>
      <c r="AY7" s="32"/>
      <c r="AZ7" s="33"/>
      <c r="BA7" s="31"/>
      <c r="BB7" s="32"/>
      <c r="BC7" s="33"/>
      <c r="BD7" s="31"/>
      <c r="BE7" s="32"/>
      <c r="BF7" s="33"/>
      <c r="BG7" s="31"/>
      <c r="BH7" s="32"/>
      <c r="BI7" s="33"/>
      <c r="BJ7" s="31"/>
      <c r="BK7" s="32"/>
      <c r="BL7" s="33"/>
      <c r="BM7" s="31"/>
      <c r="BN7" s="32"/>
      <c r="BO7" s="33"/>
    </row>
    <row r="8" spans="1:67" ht="15" customHeight="1">
      <c r="A8" s="39"/>
      <c r="B8" s="39"/>
      <c r="C8" s="3" t="s">
        <v>31</v>
      </c>
      <c r="D8" s="3" t="s">
        <v>32</v>
      </c>
      <c r="E8" s="3" t="s">
        <v>33</v>
      </c>
      <c r="F8" s="3" t="s">
        <v>31</v>
      </c>
      <c r="G8" s="3" t="s">
        <v>32</v>
      </c>
      <c r="H8" s="3" t="s">
        <v>33</v>
      </c>
      <c r="I8" s="3" t="s">
        <v>31</v>
      </c>
      <c r="J8" s="3" t="s">
        <v>32</v>
      </c>
      <c r="K8" s="3" t="s">
        <v>33</v>
      </c>
      <c r="L8" s="3" t="s">
        <v>31</v>
      </c>
      <c r="M8" s="3" t="s">
        <v>32</v>
      </c>
      <c r="N8" s="3" t="s">
        <v>33</v>
      </c>
      <c r="O8" s="3" t="s">
        <v>31</v>
      </c>
      <c r="P8" s="3" t="s">
        <v>32</v>
      </c>
      <c r="Q8" s="3" t="s">
        <v>33</v>
      </c>
      <c r="R8" s="3" t="s">
        <v>31</v>
      </c>
      <c r="S8" s="3" t="s">
        <v>32</v>
      </c>
      <c r="T8" s="3" t="s">
        <v>33</v>
      </c>
      <c r="U8" s="3" t="s">
        <v>31</v>
      </c>
      <c r="V8" s="3" t="s">
        <v>32</v>
      </c>
      <c r="W8" s="3" t="s">
        <v>33</v>
      </c>
      <c r="X8" s="3" t="s">
        <v>31</v>
      </c>
      <c r="Y8" s="3" t="s">
        <v>32</v>
      </c>
      <c r="Z8" s="3" t="s">
        <v>33</v>
      </c>
      <c r="AA8" s="3" t="s">
        <v>31</v>
      </c>
      <c r="AB8" s="3" t="s">
        <v>32</v>
      </c>
      <c r="AC8" s="3" t="s">
        <v>33</v>
      </c>
      <c r="AD8" s="3" t="s">
        <v>31</v>
      </c>
      <c r="AE8" s="3" t="s">
        <v>32</v>
      </c>
      <c r="AF8" s="3" t="s">
        <v>33</v>
      </c>
      <c r="AG8" s="3" t="s">
        <v>31</v>
      </c>
      <c r="AH8" s="3" t="s">
        <v>32</v>
      </c>
      <c r="AI8" s="3" t="s">
        <v>33</v>
      </c>
      <c r="AJ8" s="3" t="s">
        <v>31</v>
      </c>
      <c r="AK8" s="3" t="s">
        <v>32</v>
      </c>
      <c r="AL8" s="3" t="s">
        <v>33</v>
      </c>
      <c r="AM8" s="3" t="s">
        <v>31</v>
      </c>
      <c r="AN8" s="3" t="s">
        <v>32</v>
      </c>
      <c r="AO8" s="3" t="s">
        <v>33</v>
      </c>
      <c r="AP8" s="39"/>
      <c r="AQ8" s="39"/>
      <c r="AR8" s="3" t="s">
        <v>31</v>
      </c>
      <c r="AS8" s="3" t="s">
        <v>32</v>
      </c>
      <c r="AT8" s="3" t="s">
        <v>33</v>
      </c>
      <c r="AU8" s="3" t="s">
        <v>31</v>
      </c>
      <c r="AV8" s="3" t="s">
        <v>32</v>
      </c>
      <c r="AW8" s="3" t="s">
        <v>33</v>
      </c>
      <c r="AX8" s="3" t="s">
        <v>31</v>
      </c>
      <c r="AY8" s="3" t="s">
        <v>32</v>
      </c>
      <c r="AZ8" s="3" t="s">
        <v>33</v>
      </c>
      <c r="BA8" s="3" t="s">
        <v>31</v>
      </c>
      <c r="BB8" s="3" t="s">
        <v>32</v>
      </c>
      <c r="BC8" s="3" t="s">
        <v>33</v>
      </c>
      <c r="BD8" s="3" t="s">
        <v>31</v>
      </c>
      <c r="BE8" s="3" t="s">
        <v>32</v>
      </c>
      <c r="BF8" s="3" t="s">
        <v>33</v>
      </c>
      <c r="BG8" s="3" t="s">
        <v>31</v>
      </c>
      <c r="BH8" s="3" t="s">
        <v>32</v>
      </c>
      <c r="BI8" s="3" t="s">
        <v>33</v>
      </c>
      <c r="BJ8" s="3" t="s">
        <v>31</v>
      </c>
      <c r="BK8" s="3" t="s">
        <v>32</v>
      </c>
      <c r="BL8" s="3" t="s">
        <v>33</v>
      </c>
      <c r="BM8" s="3" t="s">
        <v>31</v>
      </c>
      <c r="BN8" s="3" t="s">
        <v>32</v>
      </c>
      <c r="BO8" s="3" t="s">
        <v>33</v>
      </c>
    </row>
    <row r="9" spans="1:67" ht="12" customHeight="1">
      <c r="A9" s="4"/>
      <c r="B9" s="5" t="s">
        <v>34</v>
      </c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6"/>
      <c r="AP9" s="4"/>
      <c r="AQ9" s="5" t="s">
        <v>34</v>
      </c>
      <c r="AR9" s="24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</row>
    <row r="10" spans="1:67" ht="12" customHeight="1">
      <c r="A10" s="6">
        <v>1</v>
      </c>
      <c r="B10" s="6" t="s">
        <v>35</v>
      </c>
      <c r="C10" s="7">
        <v>6</v>
      </c>
      <c r="D10" s="7">
        <v>44</v>
      </c>
      <c r="E10" s="8">
        <f t="shared" ref="E10:E14" si="0">SUM(C10:D10)</f>
        <v>50</v>
      </c>
      <c r="F10" s="7">
        <v>5</v>
      </c>
      <c r="G10" s="7">
        <v>44</v>
      </c>
      <c r="H10" s="8">
        <f t="shared" ref="H10:H14" si="1">SUM(F10:G10)</f>
        <v>49</v>
      </c>
      <c r="I10" s="7">
        <v>1</v>
      </c>
      <c r="J10" s="7">
        <v>0</v>
      </c>
      <c r="K10" s="8">
        <f t="shared" ref="K10:K14" si="2">SUM(I10:J10)</f>
        <v>1</v>
      </c>
      <c r="L10" s="7">
        <v>0</v>
      </c>
      <c r="M10" s="7">
        <v>0</v>
      </c>
      <c r="N10" s="8">
        <f t="shared" ref="N10:N14" si="3">SUM(L10:M10)</f>
        <v>0</v>
      </c>
      <c r="O10" s="7">
        <v>0</v>
      </c>
      <c r="P10" s="7">
        <v>0</v>
      </c>
      <c r="Q10" s="8">
        <f t="shared" ref="Q10:Q14" si="4">SUM(O10:P10)</f>
        <v>0</v>
      </c>
      <c r="R10" s="7">
        <v>0</v>
      </c>
      <c r="S10" s="7">
        <v>0</v>
      </c>
      <c r="T10" s="8">
        <f t="shared" ref="T10:T14" si="5">SUM(R10:S10)</f>
        <v>0</v>
      </c>
      <c r="U10" s="7">
        <v>0</v>
      </c>
      <c r="V10" s="7">
        <v>0</v>
      </c>
      <c r="W10" s="8">
        <f t="shared" ref="W10:W14" si="6">SUM(U10:V10)</f>
        <v>0</v>
      </c>
      <c r="X10" s="7">
        <v>0</v>
      </c>
      <c r="Y10" s="7">
        <v>1</v>
      </c>
      <c r="Z10" s="8">
        <f t="shared" ref="Z10:Z14" si="7">SUM(X10:Y10)</f>
        <v>1</v>
      </c>
      <c r="AA10" s="7">
        <v>0</v>
      </c>
      <c r="AB10" s="7">
        <v>1</v>
      </c>
      <c r="AC10" s="8">
        <f t="shared" ref="AC10:AC14" si="8">SUM(AA10:AB10)</f>
        <v>1</v>
      </c>
      <c r="AD10" s="7">
        <v>0</v>
      </c>
      <c r="AE10" s="7">
        <v>6</v>
      </c>
      <c r="AF10" s="8">
        <f t="shared" ref="AF10:AF14" si="9">SUM(AD10:AE10)</f>
        <v>6</v>
      </c>
      <c r="AG10" s="7">
        <v>2</v>
      </c>
      <c r="AH10" s="7">
        <v>8</v>
      </c>
      <c r="AI10" s="8">
        <f t="shared" ref="AI10:AI14" si="10">SUM(AG10:AH10)</f>
        <v>10</v>
      </c>
      <c r="AJ10" s="7">
        <v>2</v>
      </c>
      <c r="AK10" s="7">
        <v>10</v>
      </c>
      <c r="AL10" s="8">
        <f t="shared" ref="AL10:AL14" si="11">SUM(AJ10:AK10)</f>
        <v>12</v>
      </c>
      <c r="AM10" s="7">
        <v>1</v>
      </c>
      <c r="AN10" s="7">
        <v>18</v>
      </c>
      <c r="AO10" s="8">
        <f t="shared" ref="AO10:AO14" si="12">SUM(AM10:AN10)</f>
        <v>19</v>
      </c>
      <c r="AP10" s="6">
        <f t="shared" ref="AP10:AQ25" si="13">A10</f>
        <v>1</v>
      </c>
      <c r="AQ10" s="6" t="str">
        <f t="shared" si="13"/>
        <v>English Language</v>
      </c>
      <c r="AR10" s="7">
        <f>SUM(O10, R10, U10, X10, AA10, AD10, AG10)</f>
        <v>2</v>
      </c>
      <c r="AS10" s="7">
        <f>SUM(P10,S10,V10,Y10,AB10,AE10,AH10)</f>
        <v>16</v>
      </c>
      <c r="AT10" s="8">
        <f t="shared" ref="AT10:AT14" si="14">SUM(AR10:AS10)</f>
        <v>18</v>
      </c>
      <c r="AU10" s="9">
        <f t="shared" ref="AU10:AW14" si="15">IF(F10=0,0,IF(F10&gt;0,AR10/F10))</f>
        <v>0.4</v>
      </c>
      <c r="AV10" s="9">
        <f t="shared" si="15"/>
        <v>0.36363636363636365</v>
      </c>
      <c r="AW10" s="10">
        <f t="shared" si="15"/>
        <v>0.36734693877551022</v>
      </c>
      <c r="AX10" s="7">
        <f>SUM(AJ10,AM10)</f>
        <v>3</v>
      </c>
      <c r="AY10" s="7">
        <f>SUM(AK10,AN10)</f>
        <v>28</v>
      </c>
      <c r="AZ10" s="8">
        <f t="shared" ref="AZ10:AZ14" si="16">SUM(AX10:AY10)</f>
        <v>31</v>
      </c>
      <c r="BA10" s="9">
        <f t="shared" ref="BA10:BB14" si="17">IF(AJ10=0,0,IF(AJ10+AM10&gt;0,(AJ10+AM10)/F10))</f>
        <v>0.6</v>
      </c>
      <c r="BB10" s="9">
        <f t="shared" si="17"/>
        <v>0.63636363636363635</v>
      </c>
      <c r="BC10" s="10">
        <f>IF(AL10=0,0,IF(H10&gt;0,AZ10/H10))</f>
        <v>0.63265306122448983</v>
      </c>
      <c r="BD10" s="7">
        <f t="shared" ref="BD10:BE14" si="18">C10-F10</f>
        <v>1</v>
      </c>
      <c r="BE10" s="7">
        <f t="shared" si="18"/>
        <v>0</v>
      </c>
      <c r="BF10" s="8">
        <f t="shared" ref="BF10:BF14" si="19">SUM(BD10:BE10)</f>
        <v>1</v>
      </c>
      <c r="BG10" s="9">
        <f t="shared" ref="BG10:BI14" si="20">IF(C10=0,0,IF(C10&gt;0,(C10-F10)/C10))</f>
        <v>0.16666666666666666</v>
      </c>
      <c r="BH10" s="9">
        <f t="shared" si="20"/>
        <v>0</v>
      </c>
      <c r="BI10" s="10">
        <f t="shared" ref="BI10:BI12" si="21">IF(E10=0,0,IF(E10&gt;0,(E10-H10)/E10))</f>
        <v>0.02</v>
      </c>
      <c r="BJ10" s="7">
        <f t="shared" ref="BJ10:BK14" si="22">L10</f>
        <v>0</v>
      </c>
      <c r="BK10" s="7">
        <f t="shared" si="22"/>
        <v>0</v>
      </c>
      <c r="BL10" s="8">
        <f t="shared" ref="BL10:BL14" si="23">SUM(BJ10:BK10)</f>
        <v>0</v>
      </c>
      <c r="BM10" s="9">
        <f t="shared" ref="BM10:BM14" si="24">IF(OR(BJ10=0,BK10=0),0,IF(OR(BJ10&gt;0,BK10&gt;0),BJ10/F10))</f>
        <v>0</v>
      </c>
      <c r="BN10" s="9">
        <f t="shared" ref="BN10:BN14" si="25">IF(OR(BJ10=0,BK10=0),0,IF(OR(BJ10&gt;0,BK10&gt;0),BJ10/G10))</f>
        <v>0</v>
      </c>
      <c r="BO10" s="10">
        <f t="shared" ref="BO10:BO14" si="26">IF(BL10=0,0,BL10/H10)</f>
        <v>0</v>
      </c>
    </row>
    <row r="11" spans="1:67" ht="12" customHeight="1">
      <c r="A11" s="6">
        <v>2</v>
      </c>
      <c r="B11" s="6" t="s">
        <v>36</v>
      </c>
      <c r="C11" s="7">
        <v>6</v>
      </c>
      <c r="D11" s="7">
        <v>44</v>
      </c>
      <c r="E11" s="8">
        <f t="shared" si="0"/>
        <v>50</v>
      </c>
      <c r="F11" s="7">
        <v>5</v>
      </c>
      <c r="G11" s="7">
        <v>44</v>
      </c>
      <c r="H11" s="8">
        <f t="shared" si="1"/>
        <v>49</v>
      </c>
      <c r="I11" s="7">
        <v>1</v>
      </c>
      <c r="J11" s="7">
        <v>0</v>
      </c>
      <c r="K11" s="8">
        <f t="shared" si="2"/>
        <v>1</v>
      </c>
      <c r="L11" s="7">
        <v>0</v>
      </c>
      <c r="M11" s="7">
        <v>0</v>
      </c>
      <c r="N11" s="8">
        <f t="shared" si="3"/>
        <v>0</v>
      </c>
      <c r="O11" s="7">
        <v>0</v>
      </c>
      <c r="P11" s="7">
        <v>0</v>
      </c>
      <c r="Q11" s="8">
        <f t="shared" si="4"/>
        <v>0</v>
      </c>
      <c r="R11" s="7">
        <v>0</v>
      </c>
      <c r="S11" s="7">
        <v>0</v>
      </c>
      <c r="T11" s="8">
        <f t="shared" si="5"/>
        <v>0</v>
      </c>
      <c r="U11" s="7">
        <v>0</v>
      </c>
      <c r="V11" s="7">
        <v>0</v>
      </c>
      <c r="W11" s="8">
        <f t="shared" si="6"/>
        <v>0</v>
      </c>
      <c r="X11" s="7">
        <v>0</v>
      </c>
      <c r="Y11" s="7">
        <v>0</v>
      </c>
      <c r="Z11" s="8">
        <f t="shared" si="7"/>
        <v>0</v>
      </c>
      <c r="AA11" s="7">
        <v>0</v>
      </c>
      <c r="AB11" s="7">
        <v>0</v>
      </c>
      <c r="AC11" s="8">
        <f t="shared" si="8"/>
        <v>0</v>
      </c>
      <c r="AD11" s="7">
        <v>0</v>
      </c>
      <c r="AE11" s="7">
        <v>0</v>
      </c>
      <c r="AF11" s="8">
        <f t="shared" si="9"/>
        <v>0</v>
      </c>
      <c r="AG11" s="7">
        <v>0</v>
      </c>
      <c r="AH11" s="7">
        <v>0</v>
      </c>
      <c r="AI11" s="8">
        <f t="shared" si="10"/>
        <v>0</v>
      </c>
      <c r="AJ11" s="7">
        <v>0</v>
      </c>
      <c r="AK11" s="7">
        <v>3</v>
      </c>
      <c r="AL11" s="8">
        <f t="shared" si="11"/>
        <v>3</v>
      </c>
      <c r="AM11" s="7">
        <v>5</v>
      </c>
      <c r="AN11" s="7">
        <v>41</v>
      </c>
      <c r="AO11" s="8">
        <f t="shared" si="12"/>
        <v>46</v>
      </c>
      <c r="AP11" s="6">
        <f t="shared" si="13"/>
        <v>2</v>
      </c>
      <c r="AQ11" s="6" t="str">
        <f t="shared" si="13"/>
        <v>Mathematics</v>
      </c>
      <c r="AR11" s="7">
        <f>SUM(O11, R11, U11, X11, AA11, AD11, AG11)</f>
        <v>0</v>
      </c>
      <c r="AS11" s="7">
        <f>SUM(P11,S11,V11,Y11,AB11,AE11,AH11)</f>
        <v>0</v>
      </c>
      <c r="AT11" s="8">
        <f t="shared" si="14"/>
        <v>0</v>
      </c>
      <c r="AU11" s="9">
        <f t="shared" si="15"/>
        <v>0</v>
      </c>
      <c r="AV11" s="9">
        <f t="shared" si="15"/>
        <v>0</v>
      </c>
      <c r="AW11" s="10">
        <f t="shared" si="15"/>
        <v>0</v>
      </c>
      <c r="AX11" s="7">
        <f t="shared" ref="AX11:AY14" si="27">SUM(AJ11,AM11)</f>
        <v>5</v>
      </c>
      <c r="AY11" s="7">
        <f t="shared" si="27"/>
        <v>44</v>
      </c>
      <c r="AZ11" s="8">
        <f t="shared" si="16"/>
        <v>49</v>
      </c>
      <c r="BA11" s="9">
        <f t="shared" si="17"/>
        <v>0</v>
      </c>
      <c r="BB11" s="9">
        <f t="shared" si="17"/>
        <v>1</v>
      </c>
      <c r="BC11" s="10">
        <f t="shared" ref="BC11:BC14" si="28">IF(H11=0,0,IF(H11&gt;0,AZ11/H11))</f>
        <v>1</v>
      </c>
      <c r="BD11" s="7">
        <f t="shared" si="18"/>
        <v>1</v>
      </c>
      <c r="BE11" s="7">
        <f t="shared" si="18"/>
        <v>0</v>
      </c>
      <c r="BF11" s="8">
        <f t="shared" si="19"/>
        <v>1</v>
      </c>
      <c r="BG11" s="9">
        <f t="shared" si="20"/>
        <v>0.16666666666666666</v>
      </c>
      <c r="BH11" s="9">
        <f t="shared" si="20"/>
        <v>0</v>
      </c>
      <c r="BI11" s="10">
        <f t="shared" si="21"/>
        <v>0.02</v>
      </c>
      <c r="BJ11" s="7">
        <f t="shared" si="22"/>
        <v>0</v>
      </c>
      <c r="BK11" s="7">
        <f t="shared" si="22"/>
        <v>0</v>
      </c>
      <c r="BL11" s="8">
        <f t="shared" si="23"/>
        <v>0</v>
      </c>
      <c r="BM11" s="9">
        <f t="shared" si="24"/>
        <v>0</v>
      </c>
      <c r="BN11" s="9">
        <f t="shared" si="25"/>
        <v>0</v>
      </c>
      <c r="BO11" s="10">
        <f t="shared" si="26"/>
        <v>0</v>
      </c>
    </row>
    <row r="12" spans="1:67" ht="12" customHeight="1">
      <c r="A12" s="6">
        <v>3</v>
      </c>
      <c r="B12" s="6" t="s">
        <v>37</v>
      </c>
      <c r="C12" s="7">
        <v>6</v>
      </c>
      <c r="D12" s="7">
        <v>44</v>
      </c>
      <c r="E12" s="8">
        <f t="shared" si="0"/>
        <v>50</v>
      </c>
      <c r="F12" s="7">
        <v>5</v>
      </c>
      <c r="G12" s="7">
        <v>44</v>
      </c>
      <c r="H12" s="8">
        <f t="shared" si="1"/>
        <v>49</v>
      </c>
      <c r="I12" s="7">
        <v>1</v>
      </c>
      <c r="J12" s="7">
        <v>0</v>
      </c>
      <c r="K12" s="8">
        <f t="shared" si="2"/>
        <v>1</v>
      </c>
      <c r="L12" s="7">
        <v>0</v>
      </c>
      <c r="M12" s="7">
        <v>0</v>
      </c>
      <c r="N12" s="8">
        <f t="shared" si="3"/>
        <v>0</v>
      </c>
      <c r="O12" s="7">
        <v>0</v>
      </c>
      <c r="P12" s="7">
        <v>0</v>
      </c>
      <c r="Q12" s="8">
        <f t="shared" si="4"/>
        <v>0</v>
      </c>
      <c r="R12" s="7">
        <v>0</v>
      </c>
      <c r="S12" s="7">
        <v>0</v>
      </c>
      <c r="T12" s="8">
        <f t="shared" si="5"/>
        <v>0</v>
      </c>
      <c r="U12" s="7">
        <v>0</v>
      </c>
      <c r="V12" s="7">
        <v>0</v>
      </c>
      <c r="W12" s="8">
        <f t="shared" si="6"/>
        <v>0</v>
      </c>
      <c r="X12" s="7">
        <v>0</v>
      </c>
      <c r="Y12" s="7">
        <v>0</v>
      </c>
      <c r="Z12" s="8">
        <f t="shared" si="7"/>
        <v>0</v>
      </c>
      <c r="AA12" s="7">
        <v>0</v>
      </c>
      <c r="AB12" s="7">
        <v>0</v>
      </c>
      <c r="AC12" s="8">
        <f t="shared" si="8"/>
        <v>0</v>
      </c>
      <c r="AD12" s="7">
        <v>0</v>
      </c>
      <c r="AE12" s="7">
        <v>0</v>
      </c>
      <c r="AF12" s="8">
        <f t="shared" si="9"/>
        <v>0</v>
      </c>
      <c r="AG12" s="7">
        <v>0</v>
      </c>
      <c r="AH12" s="7">
        <v>3</v>
      </c>
      <c r="AI12" s="8">
        <f t="shared" si="10"/>
        <v>3</v>
      </c>
      <c r="AJ12" s="7">
        <v>3</v>
      </c>
      <c r="AK12" s="7">
        <v>3</v>
      </c>
      <c r="AL12" s="8">
        <f t="shared" si="11"/>
        <v>6</v>
      </c>
      <c r="AM12" s="7">
        <v>2</v>
      </c>
      <c r="AN12" s="7">
        <v>38</v>
      </c>
      <c r="AO12" s="8">
        <f t="shared" si="12"/>
        <v>40</v>
      </c>
      <c r="AP12" s="6">
        <f t="shared" si="13"/>
        <v>3</v>
      </c>
      <c r="AQ12" s="6" t="str">
        <f t="shared" si="13"/>
        <v>Integrated Science</v>
      </c>
      <c r="AR12" s="7">
        <f t="shared" ref="AR12:AS14" si="29">SUM(O12,R12,U12,X12,AA12,AD12,AG12)</f>
        <v>0</v>
      </c>
      <c r="AS12" s="7">
        <f>SUM(P12,S12,V12,Y12,AB12,AE12,AH12)</f>
        <v>3</v>
      </c>
      <c r="AT12" s="8">
        <f t="shared" si="14"/>
        <v>3</v>
      </c>
      <c r="AU12" s="9">
        <f t="shared" si="15"/>
        <v>0</v>
      </c>
      <c r="AV12" s="9">
        <f t="shared" si="15"/>
        <v>6.8181818181818177E-2</v>
      </c>
      <c r="AW12" s="10">
        <f t="shared" si="15"/>
        <v>6.1224489795918366E-2</v>
      </c>
      <c r="AX12" s="7">
        <f t="shared" si="27"/>
        <v>5</v>
      </c>
      <c r="AY12" s="7">
        <f t="shared" si="27"/>
        <v>41</v>
      </c>
      <c r="AZ12" s="8">
        <f t="shared" si="16"/>
        <v>46</v>
      </c>
      <c r="BA12" s="9">
        <f t="shared" si="17"/>
        <v>1</v>
      </c>
      <c r="BB12" s="9">
        <f t="shared" si="17"/>
        <v>0.93181818181818177</v>
      </c>
      <c r="BC12" s="10">
        <f t="shared" si="28"/>
        <v>0.93877551020408168</v>
      </c>
      <c r="BD12" s="7">
        <f t="shared" si="18"/>
        <v>1</v>
      </c>
      <c r="BE12" s="7">
        <f t="shared" si="18"/>
        <v>0</v>
      </c>
      <c r="BF12" s="8">
        <f t="shared" si="19"/>
        <v>1</v>
      </c>
      <c r="BG12" s="9">
        <f t="shared" si="20"/>
        <v>0.16666666666666666</v>
      </c>
      <c r="BH12" s="9">
        <f t="shared" si="20"/>
        <v>0</v>
      </c>
      <c r="BI12" s="11">
        <f t="shared" si="21"/>
        <v>0.02</v>
      </c>
      <c r="BJ12" s="7">
        <f t="shared" si="22"/>
        <v>0</v>
      </c>
      <c r="BK12" s="7">
        <f t="shared" si="22"/>
        <v>0</v>
      </c>
      <c r="BL12" s="8">
        <f t="shared" si="23"/>
        <v>0</v>
      </c>
      <c r="BM12" s="9">
        <f t="shared" si="24"/>
        <v>0</v>
      </c>
      <c r="BN12" s="9">
        <f t="shared" si="25"/>
        <v>0</v>
      </c>
      <c r="BO12" s="10">
        <f t="shared" si="26"/>
        <v>0</v>
      </c>
    </row>
    <row r="13" spans="1:67" ht="12" customHeight="1">
      <c r="A13" s="6">
        <v>4</v>
      </c>
      <c r="B13" s="6" t="s">
        <v>38</v>
      </c>
      <c r="C13" s="7">
        <v>6</v>
      </c>
      <c r="D13" s="7">
        <v>44</v>
      </c>
      <c r="E13" s="8">
        <f t="shared" si="0"/>
        <v>50</v>
      </c>
      <c r="F13" s="7">
        <v>5</v>
      </c>
      <c r="G13" s="7">
        <v>44</v>
      </c>
      <c r="H13" s="8">
        <f t="shared" si="1"/>
        <v>49</v>
      </c>
      <c r="I13" s="7">
        <v>1</v>
      </c>
      <c r="J13" s="7">
        <v>0</v>
      </c>
      <c r="K13" s="8">
        <f t="shared" si="2"/>
        <v>1</v>
      </c>
      <c r="L13" s="7">
        <v>0</v>
      </c>
      <c r="M13" s="7">
        <v>0</v>
      </c>
      <c r="N13" s="8">
        <f t="shared" si="3"/>
        <v>0</v>
      </c>
      <c r="O13" s="7">
        <v>0</v>
      </c>
      <c r="P13" s="7">
        <v>3</v>
      </c>
      <c r="Q13" s="8">
        <f t="shared" si="4"/>
        <v>3</v>
      </c>
      <c r="R13" s="7">
        <v>1</v>
      </c>
      <c r="S13" s="7">
        <v>1</v>
      </c>
      <c r="T13" s="8">
        <f t="shared" si="5"/>
        <v>2</v>
      </c>
      <c r="U13" s="7">
        <v>0</v>
      </c>
      <c r="V13" s="7">
        <v>2</v>
      </c>
      <c r="W13" s="8">
        <f t="shared" si="6"/>
        <v>2</v>
      </c>
      <c r="X13" s="7">
        <v>0</v>
      </c>
      <c r="Y13" s="7">
        <v>2</v>
      </c>
      <c r="Z13" s="8">
        <f t="shared" si="7"/>
        <v>2</v>
      </c>
      <c r="AA13" s="7">
        <v>2</v>
      </c>
      <c r="AB13" s="7">
        <v>2</v>
      </c>
      <c r="AC13" s="8">
        <f t="shared" si="8"/>
        <v>4</v>
      </c>
      <c r="AD13" s="7">
        <v>2</v>
      </c>
      <c r="AE13" s="7">
        <v>5</v>
      </c>
      <c r="AF13" s="8">
        <f t="shared" si="9"/>
        <v>7</v>
      </c>
      <c r="AG13" s="7">
        <v>0</v>
      </c>
      <c r="AH13" s="7">
        <v>4</v>
      </c>
      <c r="AI13" s="8">
        <f t="shared" si="10"/>
        <v>4</v>
      </c>
      <c r="AJ13" s="7">
        <v>0</v>
      </c>
      <c r="AK13" s="7">
        <v>9</v>
      </c>
      <c r="AL13" s="8">
        <f t="shared" si="11"/>
        <v>9</v>
      </c>
      <c r="AM13" s="7">
        <v>0</v>
      </c>
      <c r="AN13" s="7">
        <v>16</v>
      </c>
      <c r="AO13" s="8">
        <f t="shared" si="12"/>
        <v>16</v>
      </c>
      <c r="AP13" s="6">
        <f t="shared" si="13"/>
        <v>4</v>
      </c>
      <c r="AQ13" s="6" t="str">
        <f t="shared" si="13"/>
        <v>Social Studies</v>
      </c>
      <c r="AR13" s="7">
        <f t="shared" si="29"/>
        <v>5</v>
      </c>
      <c r="AS13" s="7">
        <f t="shared" si="29"/>
        <v>19</v>
      </c>
      <c r="AT13" s="8">
        <f t="shared" si="14"/>
        <v>24</v>
      </c>
      <c r="AU13" s="9">
        <f t="shared" si="15"/>
        <v>1</v>
      </c>
      <c r="AV13" s="9">
        <f t="shared" si="15"/>
        <v>0.43181818181818182</v>
      </c>
      <c r="AW13" s="10">
        <f t="shared" si="15"/>
        <v>0.48979591836734693</v>
      </c>
      <c r="AX13" s="7">
        <f t="shared" si="27"/>
        <v>0</v>
      </c>
      <c r="AY13" s="7">
        <f t="shared" si="27"/>
        <v>25</v>
      </c>
      <c r="AZ13" s="8">
        <f t="shared" si="16"/>
        <v>25</v>
      </c>
      <c r="BA13" s="9">
        <f t="shared" si="17"/>
        <v>0</v>
      </c>
      <c r="BB13" s="9">
        <f t="shared" si="17"/>
        <v>0.56818181818181823</v>
      </c>
      <c r="BC13" s="10">
        <f t="shared" si="28"/>
        <v>0.51020408163265307</v>
      </c>
      <c r="BD13" s="7">
        <f t="shared" si="18"/>
        <v>1</v>
      </c>
      <c r="BE13" s="7">
        <f t="shared" si="18"/>
        <v>0</v>
      </c>
      <c r="BF13" s="8">
        <f t="shared" si="19"/>
        <v>1</v>
      </c>
      <c r="BG13" s="9">
        <f t="shared" si="20"/>
        <v>0.16666666666666666</v>
      </c>
      <c r="BH13" s="9">
        <f t="shared" si="20"/>
        <v>0</v>
      </c>
      <c r="BI13" s="10">
        <f t="shared" si="20"/>
        <v>0.02</v>
      </c>
      <c r="BJ13" s="7">
        <f t="shared" si="22"/>
        <v>0</v>
      </c>
      <c r="BK13" s="7">
        <f t="shared" si="22"/>
        <v>0</v>
      </c>
      <c r="BL13" s="8">
        <f t="shared" si="23"/>
        <v>0</v>
      </c>
      <c r="BM13" s="9">
        <f t="shared" si="24"/>
        <v>0</v>
      </c>
      <c r="BN13" s="9">
        <f t="shared" si="25"/>
        <v>0</v>
      </c>
      <c r="BO13" s="10">
        <f t="shared" si="26"/>
        <v>0</v>
      </c>
    </row>
    <row r="14" spans="1:67" ht="12" customHeight="1">
      <c r="A14" s="12">
        <v>5</v>
      </c>
      <c r="B14" s="13" t="s">
        <v>39</v>
      </c>
      <c r="C14" s="7"/>
      <c r="D14" s="7"/>
      <c r="E14" s="8">
        <f t="shared" si="0"/>
        <v>0</v>
      </c>
      <c r="F14" s="7"/>
      <c r="G14" s="7"/>
      <c r="H14" s="8">
        <f t="shared" si="1"/>
        <v>0</v>
      </c>
      <c r="I14" s="7"/>
      <c r="J14" s="7"/>
      <c r="K14" s="8">
        <f t="shared" si="2"/>
        <v>0</v>
      </c>
      <c r="L14" s="7"/>
      <c r="M14" s="7"/>
      <c r="N14" s="8">
        <f t="shared" si="3"/>
        <v>0</v>
      </c>
      <c r="O14" s="7"/>
      <c r="P14" s="7"/>
      <c r="Q14" s="8">
        <f t="shared" si="4"/>
        <v>0</v>
      </c>
      <c r="R14" s="7"/>
      <c r="S14" s="7"/>
      <c r="T14" s="8">
        <f t="shared" si="5"/>
        <v>0</v>
      </c>
      <c r="U14" s="7"/>
      <c r="V14" s="7"/>
      <c r="W14" s="8">
        <f t="shared" si="6"/>
        <v>0</v>
      </c>
      <c r="X14" s="7"/>
      <c r="Y14" s="7"/>
      <c r="Z14" s="8">
        <f t="shared" si="7"/>
        <v>0</v>
      </c>
      <c r="AA14" s="7"/>
      <c r="AB14" s="7"/>
      <c r="AC14" s="8">
        <f t="shared" si="8"/>
        <v>0</v>
      </c>
      <c r="AD14" s="7"/>
      <c r="AE14" s="7"/>
      <c r="AF14" s="8">
        <f t="shared" si="9"/>
        <v>0</v>
      </c>
      <c r="AG14" s="7"/>
      <c r="AH14" s="7"/>
      <c r="AI14" s="8">
        <f t="shared" si="10"/>
        <v>0</v>
      </c>
      <c r="AJ14" s="7"/>
      <c r="AK14" s="7"/>
      <c r="AL14" s="8">
        <f t="shared" si="11"/>
        <v>0</v>
      </c>
      <c r="AM14" s="7"/>
      <c r="AN14" s="7"/>
      <c r="AO14" s="8">
        <f t="shared" si="12"/>
        <v>0</v>
      </c>
      <c r="AP14" s="6">
        <f t="shared" si="13"/>
        <v>5</v>
      </c>
      <c r="AQ14" s="6" t="str">
        <f t="shared" si="13"/>
        <v>ICT</v>
      </c>
      <c r="AR14" s="7">
        <f t="shared" si="29"/>
        <v>0</v>
      </c>
      <c r="AS14" s="7">
        <f t="shared" si="29"/>
        <v>0</v>
      </c>
      <c r="AT14" s="8">
        <f t="shared" si="14"/>
        <v>0</v>
      </c>
      <c r="AU14" s="9">
        <f t="shared" si="15"/>
        <v>0</v>
      </c>
      <c r="AV14" s="9">
        <f t="shared" si="15"/>
        <v>0</v>
      </c>
      <c r="AW14" s="10">
        <f t="shared" si="15"/>
        <v>0</v>
      </c>
      <c r="AX14" s="7">
        <f t="shared" si="27"/>
        <v>0</v>
      </c>
      <c r="AY14" s="7">
        <f t="shared" si="27"/>
        <v>0</v>
      </c>
      <c r="AZ14" s="8">
        <f t="shared" si="16"/>
        <v>0</v>
      </c>
      <c r="BA14" s="9">
        <f t="shared" si="17"/>
        <v>0</v>
      </c>
      <c r="BB14" s="9">
        <f t="shared" si="17"/>
        <v>0</v>
      </c>
      <c r="BC14" s="10">
        <f t="shared" si="28"/>
        <v>0</v>
      </c>
      <c r="BD14" s="7">
        <f t="shared" si="18"/>
        <v>0</v>
      </c>
      <c r="BE14" s="7">
        <f t="shared" si="18"/>
        <v>0</v>
      </c>
      <c r="BF14" s="8">
        <f t="shared" si="19"/>
        <v>0</v>
      </c>
      <c r="BG14" s="9">
        <f t="shared" si="20"/>
        <v>0</v>
      </c>
      <c r="BH14" s="9">
        <f t="shared" si="20"/>
        <v>0</v>
      </c>
      <c r="BI14" s="10">
        <f t="shared" si="20"/>
        <v>0</v>
      </c>
      <c r="BJ14" s="7">
        <f t="shared" si="22"/>
        <v>0</v>
      </c>
      <c r="BK14" s="7">
        <f t="shared" si="22"/>
        <v>0</v>
      </c>
      <c r="BL14" s="8">
        <f t="shared" si="23"/>
        <v>0</v>
      </c>
      <c r="BM14" s="9">
        <f t="shared" si="24"/>
        <v>0</v>
      </c>
      <c r="BN14" s="9">
        <f t="shared" si="25"/>
        <v>0</v>
      </c>
      <c r="BO14" s="10">
        <f t="shared" si="26"/>
        <v>0</v>
      </c>
    </row>
    <row r="15" spans="1:67" ht="12" customHeight="1">
      <c r="A15" s="12"/>
      <c r="B15" s="14" t="s">
        <v>40</v>
      </c>
      <c r="C15" s="27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6"/>
      <c r="AP15" s="6">
        <f t="shared" si="13"/>
        <v>0</v>
      </c>
      <c r="AQ15" s="5" t="str">
        <f t="shared" si="13"/>
        <v>Elective</v>
      </c>
      <c r="AR15" s="15"/>
      <c r="AS15" s="16"/>
      <c r="AT15" s="16"/>
      <c r="AU15" s="17"/>
      <c r="AV15" s="17"/>
      <c r="AW15" s="17"/>
      <c r="AX15" s="16"/>
      <c r="AY15" s="16"/>
      <c r="AZ15" s="16"/>
      <c r="BA15" s="17"/>
      <c r="BB15" s="17"/>
      <c r="BC15" s="17"/>
      <c r="BD15" s="16"/>
      <c r="BE15" s="16"/>
      <c r="BF15" s="16"/>
      <c r="BG15" s="17"/>
      <c r="BH15" s="17"/>
      <c r="BI15" s="17"/>
      <c r="BJ15" s="16"/>
      <c r="BK15" s="16"/>
      <c r="BL15" s="16"/>
      <c r="BM15" s="17"/>
      <c r="BN15" s="17"/>
      <c r="BO15" s="18"/>
    </row>
    <row r="16" spans="1:67" ht="12" customHeight="1">
      <c r="A16" s="6">
        <v>6</v>
      </c>
      <c r="B16" s="19" t="s">
        <v>41</v>
      </c>
      <c r="C16" s="7">
        <v>1</v>
      </c>
      <c r="D16" s="7">
        <v>33</v>
      </c>
      <c r="E16" s="8">
        <f t="shared" ref="E16:E57" si="30">SUM(C16:D16)</f>
        <v>34</v>
      </c>
      <c r="F16" s="7">
        <v>1</v>
      </c>
      <c r="G16" s="7">
        <v>33</v>
      </c>
      <c r="H16" s="8">
        <f t="shared" ref="H16:H57" si="31">SUM(F16:G16)</f>
        <v>34</v>
      </c>
      <c r="I16" s="7">
        <v>0</v>
      </c>
      <c r="J16" s="7">
        <v>0</v>
      </c>
      <c r="K16" s="8">
        <f t="shared" ref="K16:K57" si="32">SUM(I16:J16)</f>
        <v>0</v>
      </c>
      <c r="L16" s="7">
        <v>0</v>
      </c>
      <c r="M16" s="7">
        <v>0</v>
      </c>
      <c r="N16" s="8">
        <f t="shared" ref="N16:N57" si="33">SUM(L16:M16)</f>
        <v>0</v>
      </c>
      <c r="O16" s="7">
        <v>0</v>
      </c>
      <c r="P16" s="7">
        <v>0</v>
      </c>
      <c r="Q16" s="8">
        <f t="shared" ref="Q16:Q57" si="34">SUM(O16:P16)</f>
        <v>0</v>
      </c>
      <c r="R16" s="7">
        <v>0</v>
      </c>
      <c r="S16" s="7">
        <v>0</v>
      </c>
      <c r="T16" s="8">
        <f t="shared" ref="T16:T57" si="35">SUM(R16:S16)</f>
        <v>0</v>
      </c>
      <c r="U16" s="7">
        <v>0</v>
      </c>
      <c r="V16" s="7">
        <v>0</v>
      </c>
      <c r="W16" s="8">
        <f t="shared" ref="W16:W57" si="36">SUM(U16:V16)</f>
        <v>0</v>
      </c>
      <c r="X16" s="7">
        <v>0</v>
      </c>
      <c r="Y16" s="7">
        <v>0</v>
      </c>
      <c r="Z16" s="8">
        <f t="shared" ref="Z16:Z57" si="37">SUM(X16:Y16)</f>
        <v>0</v>
      </c>
      <c r="AA16" s="7">
        <v>0</v>
      </c>
      <c r="AB16" s="7">
        <v>0</v>
      </c>
      <c r="AC16" s="8">
        <f t="shared" ref="AC16:AC57" si="38">SUM(AA16:AB16)</f>
        <v>0</v>
      </c>
      <c r="AD16" s="7">
        <v>0</v>
      </c>
      <c r="AE16" s="7">
        <v>1</v>
      </c>
      <c r="AF16" s="8">
        <f t="shared" ref="AF16:AF57" si="39">SUM(AD16:AE16)</f>
        <v>1</v>
      </c>
      <c r="AG16" s="7">
        <v>0</v>
      </c>
      <c r="AH16" s="7">
        <v>0</v>
      </c>
      <c r="AI16" s="8">
        <f t="shared" ref="AI16:AI57" si="40">SUM(AG16:AH16)</f>
        <v>0</v>
      </c>
      <c r="AJ16" s="7">
        <v>0</v>
      </c>
      <c r="AK16" s="7">
        <v>4</v>
      </c>
      <c r="AL16" s="8">
        <f t="shared" ref="AL16:AL57" si="41">SUM(AJ16:AK16)</f>
        <v>4</v>
      </c>
      <c r="AM16" s="7">
        <v>1</v>
      </c>
      <c r="AN16" s="7">
        <v>28</v>
      </c>
      <c r="AO16" s="8">
        <f t="shared" ref="AO16:AO57" si="42">SUM(AM16:AN16)</f>
        <v>29</v>
      </c>
      <c r="AP16" s="6">
        <f t="shared" si="13"/>
        <v>6</v>
      </c>
      <c r="AQ16" s="6" t="str">
        <f t="shared" si="13"/>
        <v>Biology</v>
      </c>
      <c r="AR16" s="7">
        <f t="shared" ref="AR16:AS31" si="43">SUM(O16,R16,U16,X16,AA16,AD16,AG16)</f>
        <v>0</v>
      </c>
      <c r="AS16" s="7">
        <f t="shared" si="43"/>
        <v>1</v>
      </c>
      <c r="AT16" s="8">
        <f t="shared" ref="AT16:AT48" si="44">SUM(AR16:AS16)</f>
        <v>1</v>
      </c>
      <c r="AU16" s="9">
        <f t="shared" ref="AU16:AW31" si="45">IF(F16=0,0,IF(F16&gt;0,AR16/F16))</f>
        <v>0</v>
      </c>
      <c r="AV16" s="9">
        <f t="shared" si="45"/>
        <v>3.0303030303030304E-2</v>
      </c>
      <c r="AW16" s="10">
        <f t="shared" si="45"/>
        <v>2.9411764705882353E-2</v>
      </c>
      <c r="AX16" s="7">
        <f t="shared" ref="AX16:AY31" si="46">SUM(AJ16,AM16)</f>
        <v>1</v>
      </c>
      <c r="AY16" s="7">
        <f t="shared" si="46"/>
        <v>32</v>
      </c>
      <c r="AZ16" s="8">
        <f t="shared" ref="AZ16:AZ48" si="47">SUM(AX16:AY16)</f>
        <v>33</v>
      </c>
      <c r="BA16" s="9">
        <f t="shared" ref="BA16:BB31" si="48">IF(AJ16=0,0,IF(AJ16+AM16&gt;0,(AJ16+AM16)/F16))</f>
        <v>0</v>
      </c>
      <c r="BB16" s="9">
        <f t="shared" si="48"/>
        <v>0.96969696969696972</v>
      </c>
      <c r="BC16" s="10">
        <f t="shared" ref="BC16:BC48" si="49">IF(H16=0,0,IF(H16&gt;0,AZ16/H16))</f>
        <v>0.97058823529411764</v>
      </c>
      <c r="BD16" s="7">
        <f t="shared" ref="BD16:BE31" si="50">C16-F16</f>
        <v>0</v>
      </c>
      <c r="BE16" s="7">
        <f t="shared" si="50"/>
        <v>0</v>
      </c>
      <c r="BF16" s="8">
        <f t="shared" ref="BF16:BF48" si="51">SUM(BD16:BE16)</f>
        <v>0</v>
      </c>
      <c r="BG16" s="9">
        <f t="shared" ref="BG16:BI31" si="52">IF(C16=0,0,IF(C16&gt;0,(C16-F16)/C16))</f>
        <v>0</v>
      </c>
      <c r="BH16" s="9">
        <f t="shared" si="52"/>
        <v>0</v>
      </c>
      <c r="BI16" s="10">
        <f t="shared" si="52"/>
        <v>0</v>
      </c>
      <c r="BJ16" s="7">
        <f t="shared" ref="BJ16:BK31" si="53">L16</f>
        <v>0</v>
      </c>
      <c r="BK16" s="7">
        <f t="shared" si="53"/>
        <v>0</v>
      </c>
      <c r="BL16" s="8">
        <f t="shared" ref="BL16:BL48" si="54">SUM(BJ16:BK16)</f>
        <v>0</v>
      </c>
      <c r="BM16" s="9">
        <f t="shared" ref="BM16:BM48" si="55">IF(OR(BJ16=0,BK16=0),0,IF(OR(BJ16&gt;0,BK16&gt;0),BJ16/F16))</f>
        <v>0</v>
      </c>
      <c r="BN16" s="9">
        <f t="shared" ref="BN16:BN48" si="56">IF(OR(BJ16=0,BK16=0),0,IF(OR(BJ16&gt;0,BK16&gt;0),BJ16/G16))</f>
        <v>0</v>
      </c>
      <c r="BO16" s="10">
        <f t="shared" ref="BO16:BO48" si="57">IF(BL16=0,0,BL16/H16)</f>
        <v>0</v>
      </c>
    </row>
    <row r="17" spans="1:67" ht="12" customHeight="1">
      <c r="A17" s="6">
        <v>7</v>
      </c>
      <c r="B17" s="19" t="s">
        <v>42</v>
      </c>
      <c r="C17" s="7"/>
      <c r="D17" s="7"/>
      <c r="E17" s="8">
        <f t="shared" si="30"/>
        <v>0</v>
      </c>
      <c r="F17" s="7"/>
      <c r="G17" s="7"/>
      <c r="H17" s="8">
        <f t="shared" si="31"/>
        <v>0</v>
      </c>
      <c r="I17" s="7"/>
      <c r="J17" s="7"/>
      <c r="K17" s="8">
        <f t="shared" si="32"/>
        <v>0</v>
      </c>
      <c r="L17" s="7"/>
      <c r="M17" s="7"/>
      <c r="N17" s="8">
        <f t="shared" si="33"/>
        <v>0</v>
      </c>
      <c r="O17" s="7"/>
      <c r="P17" s="7"/>
      <c r="Q17" s="8">
        <f t="shared" si="34"/>
        <v>0</v>
      </c>
      <c r="R17" s="7"/>
      <c r="S17" s="7"/>
      <c r="T17" s="8">
        <f t="shared" si="35"/>
        <v>0</v>
      </c>
      <c r="U17" s="7"/>
      <c r="V17" s="7"/>
      <c r="W17" s="8">
        <f t="shared" si="36"/>
        <v>0</v>
      </c>
      <c r="X17" s="7"/>
      <c r="Y17" s="7"/>
      <c r="Z17" s="8">
        <f t="shared" si="37"/>
        <v>0</v>
      </c>
      <c r="AA17" s="7"/>
      <c r="AB17" s="7"/>
      <c r="AC17" s="8">
        <f t="shared" si="38"/>
        <v>0</v>
      </c>
      <c r="AD17" s="7"/>
      <c r="AE17" s="7"/>
      <c r="AF17" s="8">
        <f t="shared" si="39"/>
        <v>0</v>
      </c>
      <c r="AG17" s="7"/>
      <c r="AH17" s="7"/>
      <c r="AI17" s="8">
        <f t="shared" si="40"/>
        <v>0</v>
      </c>
      <c r="AJ17" s="7"/>
      <c r="AK17" s="7"/>
      <c r="AL17" s="8">
        <f t="shared" si="41"/>
        <v>0</v>
      </c>
      <c r="AM17" s="7"/>
      <c r="AN17" s="7"/>
      <c r="AO17" s="8">
        <f t="shared" si="42"/>
        <v>0</v>
      </c>
      <c r="AP17" s="6">
        <f t="shared" si="13"/>
        <v>7</v>
      </c>
      <c r="AQ17" s="6" t="str">
        <f t="shared" si="13"/>
        <v>Chemistry</v>
      </c>
      <c r="AR17" s="7">
        <f t="shared" si="43"/>
        <v>0</v>
      </c>
      <c r="AS17" s="7">
        <f t="shared" si="43"/>
        <v>0</v>
      </c>
      <c r="AT17" s="8">
        <f t="shared" si="44"/>
        <v>0</v>
      </c>
      <c r="AU17" s="9">
        <f t="shared" si="45"/>
        <v>0</v>
      </c>
      <c r="AV17" s="9">
        <f t="shared" si="45"/>
        <v>0</v>
      </c>
      <c r="AW17" s="10">
        <f t="shared" si="45"/>
        <v>0</v>
      </c>
      <c r="AX17" s="7">
        <f t="shared" si="46"/>
        <v>0</v>
      </c>
      <c r="AY17" s="7">
        <f t="shared" si="46"/>
        <v>0</v>
      </c>
      <c r="AZ17" s="8">
        <f t="shared" si="47"/>
        <v>0</v>
      </c>
      <c r="BA17" s="9">
        <f t="shared" si="48"/>
        <v>0</v>
      </c>
      <c r="BB17" s="9">
        <f t="shared" si="48"/>
        <v>0</v>
      </c>
      <c r="BC17" s="10">
        <f t="shared" si="49"/>
        <v>0</v>
      </c>
      <c r="BD17" s="7">
        <f t="shared" si="50"/>
        <v>0</v>
      </c>
      <c r="BE17" s="7">
        <f t="shared" si="50"/>
        <v>0</v>
      </c>
      <c r="BF17" s="8">
        <f t="shared" si="51"/>
        <v>0</v>
      </c>
      <c r="BG17" s="9">
        <f t="shared" si="52"/>
        <v>0</v>
      </c>
      <c r="BH17" s="9">
        <f t="shared" si="52"/>
        <v>0</v>
      </c>
      <c r="BI17" s="10">
        <f t="shared" si="52"/>
        <v>0</v>
      </c>
      <c r="BJ17" s="7">
        <f t="shared" si="53"/>
        <v>0</v>
      </c>
      <c r="BK17" s="7">
        <f t="shared" si="53"/>
        <v>0</v>
      </c>
      <c r="BL17" s="8">
        <f t="shared" si="54"/>
        <v>0</v>
      </c>
      <c r="BM17" s="9">
        <f t="shared" si="55"/>
        <v>0</v>
      </c>
      <c r="BN17" s="9">
        <f t="shared" si="56"/>
        <v>0</v>
      </c>
      <c r="BO17" s="10">
        <f t="shared" si="57"/>
        <v>0</v>
      </c>
    </row>
    <row r="18" spans="1:67" ht="12" customHeight="1">
      <c r="A18" s="6">
        <v>8</v>
      </c>
      <c r="B18" s="19" t="s">
        <v>43</v>
      </c>
      <c r="C18" s="7"/>
      <c r="D18" s="7"/>
      <c r="E18" s="8">
        <f t="shared" si="30"/>
        <v>0</v>
      </c>
      <c r="F18" s="7"/>
      <c r="G18" s="7"/>
      <c r="H18" s="8">
        <f t="shared" si="31"/>
        <v>0</v>
      </c>
      <c r="I18" s="7"/>
      <c r="J18" s="7"/>
      <c r="K18" s="8">
        <f t="shared" si="32"/>
        <v>0</v>
      </c>
      <c r="L18" s="7"/>
      <c r="M18" s="7"/>
      <c r="N18" s="8">
        <f t="shared" si="33"/>
        <v>0</v>
      </c>
      <c r="O18" s="7"/>
      <c r="P18" s="7"/>
      <c r="Q18" s="8">
        <f t="shared" si="34"/>
        <v>0</v>
      </c>
      <c r="R18" s="7"/>
      <c r="S18" s="7"/>
      <c r="T18" s="8">
        <f t="shared" si="35"/>
        <v>0</v>
      </c>
      <c r="U18" s="7"/>
      <c r="V18" s="7"/>
      <c r="W18" s="8">
        <f t="shared" si="36"/>
        <v>0</v>
      </c>
      <c r="X18" s="7"/>
      <c r="Y18" s="7"/>
      <c r="Z18" s="8">
        <f t="shared" si="37"/>
        <v>0</v>
      </c>
      <c r="AA18" s="7"/>
      <c r="AB18" s="7"/>
      <c r="AC18" s="8">
        <f t="shared" si="38"/>
        <v>0</v>
      </c>
      <c r="AD18" s="7"/>
      <c r="AE18" s="7"/>
      <c r="AF18" s="8">
        <f t="shared" si="39"/>
        <v>0</v>
      </c>
      <c r="AG18" s="7"/>
      <c r="AH18" s="7"/>
      <c r="AI18" s="8">
        <f t="shared" si="40"/>
        <v>0</v>
      </c>
      <c r="AJ18" s="7"/>
      <c r="AK18" s="7"/>
      <c r="AL18" s="8">
        <f t="shared" si="41"/>
        <v>0</v>
      </c>
      <c r="AM18" s="7"/>
      <c r="AN18" s="7"/>
      <c r="AO18" s="8">
        <f t="shared" si="42"/>
        <v>0</v>
      </c>
      <c r="AP18" s="6">
        <f t="shared" si="13"/>
        <v>8</v>
      </c>
      <c r="AQ18" s="6" t="str">
        <f t="shared" si="13"/>
        <v>Physics</v>
      </c>
      <c r="AR18" s="7">
        <f t="shared" si="43"/>
        <v>0</v>
      </c>
      <c r="AS18" s="7">
        <f t="shared" si="43"/>
        <v>0</v>
      </c>
      <c r="AT18" s="8">
        <f t="shared" si="44"/>
        <v>0</v>
      </c>
      <c r="AU18" s="9">
        <f t="shared" si="45"/>
        <v>0</v>
      </c>
      <c r="AV18" s="9">
        <f t="shared" si="45"/>
        <v>0</v>
      </c>
      <c r="AW18" s="10">
        <f t="shared" si="45"/>
        <v>0</v>
      </c>
      <c r="AX18" s="7">
        <f t="shared" si="46"/>
        <v>0</v>
      </c>
      <c r="AY18" s="7">
        <f t="shared" si="46"/>
        <v>0</v>
      </c>
      <c r="AZ18" s="8">
        <f t="shared" si="47"/>
        <v>0</v>
      </c>
      <c r="BA18" s="9">
        <f t="shared" si="48"/>
        <v>0</v>
      </c>
      <c r="BB18" s="9">
        <f t="shared" si="48"/>
        <v>0</v>
      </c>
      <c r="BC18" s="10">
        <f t="shared" si="49"/>
        <v>0</v>
      </c>
      <c r="BD18" s="7">
        <f t="shared" si="50"/>
        <v>0</v>
      </c>
      <c r="BE18" s="7">
        <f t="shared" si="50"/>
        <v>0</v>
      </c>
      <c r="BF18" s="8">
        <f t="shared" si="51"/>
        <v>0</v>
      </c>
      <c r="BG18" s="9">
        <f t="shared" si="52"/>
        <v>0</v>
      </c>
      <c r="BH18" s="9">
        <f t="shared" si="52"/>
        <v>0</v>
      </c>
      <c r="BI18" s="10">
        <f t="shared" si="52"/>
        <v>0</v>
      </c>
      <c r="BJ18" s="7">
        <f t="shared" si="53"/>
        <v>0</v>
      </c>
      <c r="BK18" s="7">
        <f t="shared" si="53"/>
        <v>0</v>
      </c>
      <c r="BL18" s="8">
        <f t="shared" si="54"/>
        <v>0</v>
      </c>
      <c r="BM18" s="9">
        <f t="shared" si="55"/>
        <v>0</v>
      </c>
      <c r="BN18" s="9">
        <f t="shared" si="56"/>
        <v>0</v>
      </c>
      <c r="BO18" s="10">
        <f t="shared" si="57"/>
        <v>0</v>
      </c>
    </row>
    <row r="19" spans="1:67" ht="12" customHeight="1">
      <c r="A19" s="6">
        <v>9</v>
      </c>
      <c r="B19" s="19" t="s">
        <v>44</v>
      </c>
      <c r="C19" s="7"/>
      <c r="D19" s="7"/>
      <c r="E19" s="8">
        <f t="shared" si="30"/>
        <v>0</v>
      </c>
      <c r="F19" s="7"/>
      <c r="G19" s="7"/>
      <c r="H19" s="8">
        <f t="shared" si="31"/>
        <v>0</v>
      </c>
      <c r="I19" s="7"/>
      <c r="J19" s="7"/>
      <c r="K19" s="8">
        <f t="shared" si="32"/>
        <v>0</v>
      </c>
      <c r="L19" s="7"/>
      <c r="M19" s="7"/>
      <c r="N19" s="8">
        <f t="shared" si="33"/>
        <v>0</v>
      </c>
      <c r="O19" s="7"/>
      <c r="P19" s="7"/>
      <c r="Q19" s="8">
        <f t="shared" si="34"/>
        <v>0</v>
      </c>
      <c r="R19" s="7"/>
      <c r="S19" s="7"/>
      <c r="T19" s="8">
        <f t="shared" si="35"/>
        <v>0</v>
      </c>
      <c r="U19" s="7"/>
      <c r="V19" s="7"/>
      <c r="W19" s="8">
        <f t="shared" si="36"/>
        <v>0</v>
      </c>
      <c r="X19" s="7"/>
      <c r="Y19" s="7"/>
      <c r="Z19" s="8">
        <f t="shared" si="37"/>
        <v>0</v>
      </c>
      <c r="AA19" s="7"/>
      <c r="AB19" s="7"/>
      <c r="AC19" s="8">
        <f t="shared" si="38"/>
        <v>0</v>
      </c>
      <c r="AD19" s="7"/>
      <c r="AE19" s="7"/>
      <c r="AF19" s="8">
        <f t="shared" si="39"/>
        <v>0</v>
      </c>
      <c r="AG19" s="7"/>
      <c r="AH19" s="7"/>
      <c r="AI19" s="8">
        <f t="shared" si="40"/>
        <v>0</v>
      </c>
      <c r="AJ19" s="7"/>
      <c r="AK19" s="7"/>
      <c r="AL19" s="8">
        <f t="shared" si="41"/>
        <v>0</v>
      </c>
      <c r="AM19" s="7"/>
      <c r="AN19" s="7"/>
      <c r="AO19" s="8">
        <f t="shared" si="42"/>
        <v>0</v>
      </c>
      <c r="AP19" s="6">
        <f t="shared" si="13"/>
        <v>9</v>
      </c>
      <c r="AQ19" s="6" t="str">
        <f t="shared" si="13"/>
        <v>Mathematics (Elective)</v>
      </c>
      <c r="AR19" s="7">
        <f t="shared" si="43"/>
        <v>0</v>
      </c>
      <c r="AS19" s="7">
        <f t="shared" si="43"/>
        <v>0</v>
      </c>
      <c r="AT19" s="8">
        <f t="shared" si="44"/>
        <v>0</v>
      </c>
      <c r="AU19" s="9">
        <f t="shared" si="45"/>
        <v>0</v>
      </c>
      <c r="AV19" s="9">
        <f t="shared" si="45"/>
        <v>0</v>
      </c>
      <c r="AW19" s="10">
        <f t="shared" si="45"/>
        <v>0</v>
      </c>
      <c r="AX19" s="7">
        <f t="shared" si="46"/>
        <v>0</v>
      </c>
      <c r="AY19" s="7">
        <f t="shared" si="46"/>
        <v>0</v>
      </c>
      <c r="AZ19" s="8">
        <f t="shared" si="47"/>
        <v>0</v>
      </c>
      <c r="BA19" s="9">
        <f t="shared" si="48"/>
        <v>0</v>
      </c>
      <c r="BB19" s="9">
        <f t="shared" si="48"/>
        <v>0</v>
      </c>
      <c r="BC19" s="10">
        <f t="shared" si="49"/>
        <v>0</v>
      </c>
      <c r="BD19" s="7">
        <f t="shared" si="50"/>
        <v>0</v>
      </c>
      <c r="BE19" s="7">
        <f t="shared" si="50"/>
        <v>0</v>
      </c>
      <c r="BF19" s="8">
        <f t="shared" si="51"/>
        <v>0</v>
      </c>
      <c r="BG19" s="9">
        <f t="shared" si="52"/>
        <v>0</v>
      </c>
      <c r="BH19" s="9">
        <f t="shared" si="52"/>
        <v>0</v>
      </c>
      <c r="BI19" s="10">
        <f t="shared" si="52"/>
        <v>0</v>
      </c>
      <c r="BJ19" s="7">
        <f t="shared" si="53"/>
        <v>0</v>
      </c>
      <c r="BK19" s="7">
        <f t="shared" si="53"/>
        <v>0</v>
      </c>
      <c r="BL19" s="8">
        <f t="shared" si="54"/>
        <v>0</v>
      </c>
      <c r="BM19" s="9">
        <f t="shared" si="55"/>
        <v>0</v>
      </c>
      <c r="BN19" s="9">
        <f t="shared" si="56"/>
        <v>0</v>
      </c>
      <c r="BO19" s="10">
        <f t="shared" si="57"/>
        <v>0</v>
      </c>
    </row>
    <row r="20" spans="1:67" ht="12" customHeight="1">
      <c r="A20" s="6">
        <v>10</v>
      </c>
      <c r="B20" s="19" t="s">
        <v>45</v>
      </c>
      <c r="C20" s="7"/>
      <c r="D20" s="7"/>
      <c r="E20" s="8">
        <f t="shared" si="30"/>
        <v>0</v>
      </c>
      <c r="F20" s="7"/>
      <c r="G20" s="7"/>
      <c r="H20" s="8">
        <f t="shared" si="31"/>
        <v>0</v>
      </c>
      <c r="I20" s="7"/>
      <c r="J20" s="7"/>
      <c r="K20" s="8">
        <f t="shared" si="32"/>
        <v>0</v>
      </c>
      <c r="L20" s="7"/>
      <c r="M20" s="7"/>
      <c r="N20" s="8">
        <f t="shared" si="33"/>
        <v>0</v>
      </c>
      <c r="O20" s="7"/>
      <c r="P20" s="7"/>
      <c r="Q20" s="8">
        <f t="shared" si="34"/>
        <v>0</v>
      </c>
      <c r="R20" s="7"/>
      <c r="S20" s="7"/>
      <c r="T20" s="8">
        <f t="shared" si="35"/>
        <v>0</v>
      </c>
      <c r="U20" s="7"/>
      <c r="V20" s="7"/>
      <c r="W20" s="8">
        <f t="shared" si="36"/>
        <v>0</v>
      </c>
      <c r="X20" s="7"/>
      <c r="Y20" s="7"/>
      <c r="Z20" s="8">
        <f t="shared" si="37"/>
        <v>0</v>
      </c>
      <c r="AA20" s="7"/>
      <c r="AB20" s="7"/>
      <c r="AC20" s="8">
        <f t="shared" si="38"/>
        <v>0</v>
      </c>
      <c r="AD20" s="7"/>
      <c r="AE20" s="7"/>
      <c r="AF20" s="8">
        <f t="shared" si="39"/>
        <v>0</v>
      </c>
      <c r="AG20" s="7"/>
      <c r="AH20" s="7"/>
      <c r="AI20" s="8">
        <f t="shared" si="40"/>
        <v>0</v>
      </c>
      <c r="AJ20" s="7"/>
      <c r="AK20" s="7"/>
      <c r="AL20" s="8">
        <f t="shared" si="41"/>
        <v>0</v>
      </c>
      <c r="AM20" s="7"/>
      <c r="AN20" s="7"/>
      <c r="AO20" s="8">
        <f t="shared" si="42"/>
        <v>0</v>
      </c>
      <c r="AP20" s="6">
        <f t="shared" si="13"/>
        <v>10</v>
      </c>
      <c r="AQ20" s="6" t="str">
        <f t="shared" si="13"/>
        <v>Government</v>
      </c>
      <c r="AR20" s="7">
        <f t="shared" si="43"/>
        <v>0</v>
      </c>
      <c r="AS20" s="7">
        <f t="shared" si="43"/>
        <v>0</v>
      </c>
      <c r="AT20" s="8">
        <f t="shared" si="44"/>
        <v>0</v>
      </c>
      <c r="AU20" s="9">
        <f t="shared" si="45"/>
        <v>0</v>
      </c>
      <c r="AV20" s="9">
        <f t="shared" si="45"/>
        <v>0</v>
      </c>
      <c r="AW20" s="10">
        <f t="shared" si="45"/>
        <v>0</v>
      </c>
      <c r="AX20" s="7">
        <f t="shared" si="46"/>
        <v>0</v>
      </c>
      <c r="AY20" s="7">
        <f t="shared" si="46"/>
        <v>0</v>
      </c>
      <c r="AZ20" s="8">
        <f t="shared" si="47"/>
        <v>0</v>
      </c>
      <c r="BA20" s="9">
        <f t="shared" si="48"/>
        <v>0</v>
      </c>
      <c r="BB20" s="9">
        <f t="shared" si="48"/>
        <v>0</v>
      </c>
      <c r="BC20" s="10">
        <f t="shared" si="49"/>
        <v>0</v>
      </c>
      <c r="BD20" s="7">
        <f t="shared" si="50"/>
        <v>0</v>
      </c>
      <c r="BE20" s="7">
        <f t="shared" si="50"/>
        <v>0</v>
      </c>
      <c r="BF20" s="8">
        <f t="shared" si="51"/>
        <v>0</v>
      </c>
      <c r="BG20" s="9">
        <f t="shared" si="52"/>
        <v>0</v>
      </c>
      <c r="BH20" s="9">
        <f t="shared" si="52"/>
        <v>0</v>
      </c>
      <c r="BI20" s="10">
        <f t="shared" si="52"/>
        <v>0</v>
      </c>
      <c r="BJ20" s="7">
        <f t="shared" si="53"/>
        <v>0</v>
      </c>
      <c r="BK20" s="7">
        <f t="shared" si="53"/>
        <v>0</v>
      </c>
      <c r="BL20" s="8">
        <f t="shared" si="54"/>
        <v>0</v>
      </c>
      <c r="BM20" s="9">
        <f t="shared" si="55"/>
        <v>0</v>
      </c>
      <c r="BN20" s="9">
        <f t="shared" si="56"/>
        <v>0</v>
      </c>
      <c r="BO20" s="10">
        <f t="shared" si="57"/>
        <v>0</v>
      </c>
    </row>
    <row r="21" spans="1:67" ht="12" customHeight="1">
      <c r="A21" s="6">
        <v>11</v>
      </c>
      <c r="B21" s="19" t="s">
        <v>46</v>
      </c>
      <c r="C21" s="7"/>
      <c r="D21" s="7"/>
      <c r="E21" s="8">
        <f t="shared" si="30"/>
        <v>0</v>
      </c>
      <c r="F21" s="7"/>
      <c r="G21" s="7"/>
      <c r="H21" s="8">
        <f t="shared" si="31"/>
        <v>0</v>
      </c>
      <c r="I21" s="7"/>
      <c r="J21" s="7"/>
      <c r="K21" s="8">
        <f t="shared" si="32"/>
        <v>0</v>
      </c>
      <c r="L21" s="7"/>
      <c r="M21" s="7"/>
      <c r="N21" s="8">
        <f t="shared" si="33"/>
        <v>0</v>
      </c>
      <c r="O21" s="7"/>
      <c r="P21" s="7"/>
      <c r="Q21" s="8">
        <f t="shared" si="34"/>
        <v>0</v>
      </c>
      <c r="R21" s="7"/>
      <c r="S21" s="7"/>
      <c r="T21" s="8">
        <f t="shared" si="35"/>
        <v>0</v>
      </c>
      <c r="U21" s="7"/>
      <c r="V21" s="7"/>
      <c r="W21" s="8">
        <f t="shared" si="36"/>
        <v>0</v>
      </c>
      <c r="X21" s="7"/>
      <c r="Y21" s="7"/>
      <c r="Z21" s="8">
        <f t="shared" si="37"/>
        <v>0</v>
      </c>
      <c r="AA21" s="7"/>
      <c r="AB21" s="7"/>
      <c r="AC21" s="8">
        <f t="shared" si="38"/>
        <v>0</v>
      </c>
      <c r="AD21" s="7"/>
      <c r="AE21" s="7"/>
      <c r="AF21" s="8">
        <f t="shared" si="39"/>
        <v>0</v>
      </c>
      <c r="AG21" s="7"/>
      <c r="AH21" s="7"/>
      <c r="AI21" s="8">
        <f t="shared" si="40"/>
        <v>0</v>
      </c>
      <c r="AJ21" s="7"/>
      <c r="AK21" s="7"/>
      <c r="AL21" s="8">
        <f t="shared" si="41"/>
        <v>0</v>
      </c>
      <c r="AM21" s="7"/>
      <c r="AN21" s="7"/>
      <c r="AO21" s="8">
        <f t="shared" si="42"/>
        <v>0</v>
      </c>
      <c r="AP21" s="6">
        <f t="shared" si="13"/>
        <v>11</v>
      </c>
      <c r="AQ21" s="6" t="str">
        <f t="shared" si="13"/>
        <v>Geography</v>
      </c>
      <c r="AR21" s="7">
        <f t="shared" si="43"/>
        <v>0</v>
      </c>
      <c r="AS21" s="7">
        <f t="shared" si="43"/>
        <v>0</v>
      </c>
      <c r="AT21" s="8">
        <f t="shared" si="44"/>
        <v>0</v>
      </c>
      <c r="AU21" s="9">
        <f t="shared" si="45"/>
        <v>0</v>
      </c>
      <c r="AV21" s="9">
        <f t="shared" si="45"/>
        <v>0</v>
      </c>
      <c r="AW21" s="10">
        <f t="shared" si="45"/>
        <v>0</v>
      </c>
      <c r="AX21" s="7">
        <f t="shared" si="46"/>
        <v>0</v>
      </c>
      <c r="AY21" s="7">
        <f t="shared" si="46"/>
        <v>0</v>
      </c>
      <c r="AZ21" s="8">
        <f t="shared" si="47"/>
        <v>0</v>
      </c>
      <c r="BA21" s="9">
        <f t="shared" si="48"/>
        <v>0</v>
      </c>
      <c r="BB21" s="9">
        <f t="shared" si="48"/>
        <v>0</v>
      </c>
      <c r="BC21" s="10">
        <f t="shared" si="49"/>
        <v>0</v>
      </c>
      <c r="BD21" s="7">
        <f t="shared" si="50"/>
        <v>0</v>
      </c>
      <c r="BE21" s="7">
        <f t="shared" si="50"/>
        <v>0</v>
      </c>
      <c r="BF21" s="8">
        <f t="shared" si="51"/>
        <v>0</v>
      </c>
      <c r="BG21" s="9">
        <f t="shared" si="52"/>
        <v>0</v>
      </c>
      <c r="BH21" s="9">
        <f t="shared" si="52"/>
        <v>0</v>
      </c>
      <c r="BI21" s="10">
        <f t="shared" si="52"/>
        <v>0</v>
      </c>
      <c r="BJ21" s="7">
        <f t="shared" si="53"/>
        <v>0</v>
      </c>
      <c r="BK21" s="7">
        <f t="shared" si="53"/>
        <v>0</v>
      </c>
      <c r="BL21" s="8">
        <f t="shared" si="54"/>
        <v>0</v>
      </c>
      <c r="BM21" s="9">
        <f t="shared" si="55"/>
        <v>0</v>
      </c>
      <c r="BN21" s="9">
        <f t="shared" si="56"/>
        <v>0</v>
      </c>
      <c r="BO21" s="10">
        <f t="shared" si="57"/>
        <v>0</v>
      </c>
    </row>
    <row r="22" spans="1:67" ht="12" customHeight="1">
      <c r="A22" s="6">
        <v>12</v>
      </c>
      <c r="B22" s="19" t="s">
        <v>47</v>
      </c>
      <c r="C22" s="7">
        <v>6</v>
      </c>
      <c r="D22" s="7">
        <v>44</v>
      </c>
      <c r="E22" s="8">
        <f t="shared" si="30"/>
        <v>50</v>
      </c>
      <c r="F22" s="7">
        <v>5</v>
      </c>
      <c r="G22" s="7">
        <v>44</v>
      </c>
      <c r="H22" s="8">
        <f t="shared" si="31"/>
        <v>49</v>
      </c>
      <c r="I22" s="7">
        <v>1</v>
      </c>
      <c r="J22" s="7">
        <v>0</v>
      </c>
      <c r="K22" s="8">
        <f t="shared" si="32"/>
        <v>1</v>
      </c>
      <c r="L22" s="7">
        <v>0</v>
      </c>
      <c r="M22" s="7">
        <v>0</v>
      </c>
      <c r="N22" s="8">
        <f t="shared" si="33"/>
        <v>0</v>
      </c>
      <c r="O22" s="7">
        <v>0</v>
      </c>
      <c r="P22" s="7">
        <v>0</v>
      </c>
      <c r="Q22" s="8">
        <f t="shared" si="34"/>
        <v>0</v>
      </c>
      <c r="R22" s="7">
        <v>0</v>
      </c>
      <c r="S22" s="7">
        <v>0</v>
      </c>
      <c r="T22" s="8">
        <f t="shared" si="35"/>
        <v>0</v>
      </c>
      <c r="U22" s="7">
        <v>0</v>
      </c>
      <c r="V22" s="7">
        <v>0</v>
      </c>
      <c r="W22" s="8">
        <f t="shared" si="36"/>
        <v>0</v>
      </c>
      <c r="X22" s="7">
        <v>0</v>
      </c>
      <c r="Y22" s="7">
        <v>0</v>
      </c>
      <c r="Z22" s="8">
        <f t="shared" si="37"/>
        <v>0</v>
      </c>
      <c r="AA22" s="7">
        <v>0</v>
      </c>
      <c r="AB22" s="7">
        <v>0</v>
      </c>
      <c r="AC22" s="8">
        <f t="shared" si="38"/>
        <v>0</v>
      </c>
      <c r="AD22" s="7">
        <v>0</v>
      </c>
      <c r="AE22" s="7">
        <v>0</v>
      </c>
      <c r="AF22" s="8">
        <f t="shared" si="39"/>
        <v>0</v>
      </c>
      <c r="AG22" s="7">
        <v>0</v>
      </c>
      <c r="AH22" s="7">
        <v>0</v>
      </c>
      <c r="AI22" s="8">
        <f t="shared" si="40"/>
        <v>0</v>
      </c>
      <c r="AJ22" s="7">
        <v>0</v>
      </c>
      <c r="AK22" s="7">
        <v>1</v>
      </c>
      <c r="AL22" s="8">
        <f t="shared" si="41"/>
        <v>1</v>
      </c>
      <c r="AM22" s="7">
        <v>5</v>
      </c>
      <c r="AN22" s="7">
        <v>44</v>
      </c>
      <c r="AO22" s="8">
        <f t="shared" si="42"/>
        <v>49</v>
      </c>
      <c r="AP22" s="6">
        <f t="shared" si="13"/>
        <v>12</v>
      </c>
      <c r="AQ22" s="6" t="str">
        <f t="shared" si="13"/>
        <v>Economics</v>
      </c>
      <c r="AR22" s="7">
        <f t="shared" si="43"/>
        <v>0</v>
      </c>
      <c r="AS22" s="7">
        <f t="shared" si="43"/>
        <v>0</v>
      </c>
      <c r="AT22" s="8">
        <f t="shared" si="44"/>
        <v>0</v>
      </c>
      <c r="AU22" s="9">
        <f t="shared" si="45"/>
        <v>0</v>
      </c>
      <c r="AV22" s="9">
        <f t="shared" si="45"/>
        <v>0</v>
      </c>
      <c r="AW22" s="10">
        <f t="shared" si="45"/>
        <v>0</v>
      </c>
      <c r="AX22" s="7">
        <f t="shared" si="46"/>
        <v>5</v>
      </c>
      <c r="AY22" s="7">
        <f t="shared" si="46"/>
        <v>45</v>
      </c>
      <c r="AZ22" s="8">
        <f t="shared" si="47"/>
        <v>50</v>
      </c>
      <c r="BA22" s="9">
        <f t="shared" si="48"/>
        <v>0</v>
      </c>
      <c r="BB22" s="9">
        <f t="shared" si="48"/>
        <v>1.0227272727272727</v>
      </c>
      <c r="BC22" s="10">
        <f t="shared" si="49"/>
        <v>1.0204081632653061</v>
      </c>
      <c r="BD22" s="7">
        <f t="shared" si="50"/>
        <v>1</v>
      </c>
      <c r="BE22" s="7">
        <f t="shared" si="50"/>
        <v>0</v>
      </c>
      <c r="BF22" s="8">
        <f t="shared" si="51"/>
        <v>1</v>
      </c>
      <c r="BG22" s="9">
        <f t="shared" si="52"/>
        <v>0.16666666666666666</v>
      </c>
      <c r="BH22" s="9">
        <f t="shared" si="52"/>
        <v>0</v>
      </c>
      <c r="BI22" s="10">
        <f t="shared" si="52"/>
        <v>0.02</v>
      </c>
      <c r="BJ22" s="7">
        <f t="shared" si="53"/>
        <v>0</v>
      </c>
      <c r="BK22" s="7">
        <f t="shared" si="53"/>
        <v>0</v>
      </c>
      <c r="BL22" s="8">
        <f t="shared" si="54"/>
        <v>0</v>
      </c>
      <c r="BM22" s="9">
        <f t="shared" si="55"/>
        <v>0</v>
      </c>
      <c r="BN22" s="9">
        <f t="shared" si="56"/>
        <v>0</v>
      </c>
      <c r="BO22" s="10">
        <f t="shared" si="57"/>
        <v>0</v>
      </c>
    </row>
    <row r="23" spans="1:67" ht="12" customHeight="1">
      <c r="A23" s="6">
        <v>13</v>
      </c>
      <c r="B23" s="19" t="s">
        <v>48</v>
      </c>
      <c r="C23" s="7">
        <v>5</v>
      </c>
      <c r="D23" s="7">
        <v>11</v>
      </c>
      <c r="E23" s="8">
        <f t="shared" si="30"/>
        <v>16</v>
      </c>
      <c r="F23" s="7">
        <v>4</v>
      </c>
      <c r="G23" s="7">
        <v>11</v>
      </c>
      <c r="H23" s="8">
        <f t="shared" si="31"/>
        <v>15</v>
      </c>
      <c r="I23" s="7">
        <v>1</v>
      </c>
      <c r="J23" s="7">
        <v>0</v>
      </c>
      <c r="K23" s="8">
        <f t="shared" si="32"/>
        <v>1</v>
      </c>
      <c r="L23" s="7">
        <v>0</v>
      </c>
      <c r="M23" s="7">
        <v>0</v>
      </c>
      <c r="N23" s="8">
        <f t="shared" si="33"/>
        <v>0</v>
      </c>
      <c r="O23" s="7">
        <v>0</v>
      </c>
      <c r="P23" s="7">
        <v>0</v>
      </c>
      <c r="Q23" s="8">
        <f t="shared" si="34"/>
        <v>0</v>
      </c>
      <c r="R23" s="7">
        <v>0</v>
      </c>
      <c r="S23" s="7">
        <v>0</v>
      </c>
      <c r="T23" s="8">
        <f t="shared" si="35"/>
        <v>0</v>
      </c>
      <c r="U23" s="7">
        <v>0</v>
      </c>
      <c r="V23" s="7">
        <v>0</v>
      </c>
      <c r="W23" s="8">
        <f t="shared" si="36"/>
        <v>0</v>
      </c>
      <c r="X23" s="7">
        <v>0</v>
      </c>
      <c r="Y23" s="7">
        <v>0</v>
      </c>
      <c r="Z23" s="8">
        <f t="shared" si="37"/>
        <v>0</v>
      </c>
      <c r="AA23" s="7">
        <v>0</v>
      </c>
      <c r="AB23" s="7">
        <v>1</v>
      </c>
      <c r="AC23" s="8">
        <f t="shared" si="38"/>
        <v>1</v>
      </c>
      <c r="AD23" s="7">
        <v>1</v>
      </c>
      <c r="AE23" s="7">
        <v>2</v>
      </c>
      <c r="AF23" s="8">
        <f t="shared" si="39"/>
        <v>3</v>
      </c>
      <c r="AG23" s="7">
        <v>1</v>
      </c>
      <c r="AH23" s="7">
        <v>0</v>
      </c>
      <c r="AI23" s="8">
        <f t="shared" si="40"/>
        <v>1</v>
      </c>
      <c r="AJ23" s="7">
        <v>0</v>
      </c>
      <c r="AK23" s="7">
        <v>0</v>
      </c>
      <c r="AL23" s="8">
        <f t="shared" si="41"/>
        <v>0</v>
      </c>
      <c r="AM23" s="7">
        <v>2</v>
      </c>
      <c r="AN23" s="7">
        <v>8</v>
      </c>
      <c r="AO23" s="8">
        <f t="shared" si="42"/>
        <v>10</v>
      </c>
      <c r="AP23" s="6">
        <f t="shared" si="13"/>
        <v>13</v>
      </c>
      <c r="AQ23" s="6" t="str">
        <f t="shared" si="13"/>
        <v>History</v>
      </c>
      <c r="AR23" s="7">
        <f t="shared" si="43"/>
        <v>2</v>
      </c>
      <c r="AS23" s="7">
        <f t="shared" si="43"/>
        <v>3</v>
      </c>
      <c r="AT23" s="8">
        <f t="shared" si="44"/>
        <v>5</v>
      </c>
      <c r="AU23" s="9">
        <f t="shared" si="45"/>
        <v>0.5</v>
      </c>
      <c r="AV23" s="9">
        <f t="shared" si="45"/>
        <v>0.27272727272727271</v>
      </c>
      <c r="AW23" s="10">
        <f t="shared" si="45"/>
        <v>0.33333333333333331</v>
      </c>
      <c r="AX23" s="7">
        <f t="shared" si="46"/>
        <v>2</v>
      </c>
      <c r="AY23" s="7">
        <f t="shared" si="46"/>
        <v>8</v>
      </c>
      <c r="AZ23" s="8">
        <f t="shared" si="47"/>
        <v>10</v>
      </c>
      <c r="BA23" s="9">
        <f t="shared" si="48"/>
        <v>0</v>
      </c>
      <c r="BB23" s="9">
        <f t="shared" si="48"/>
        <v>0</v>
      </c>
      <c r="BC23" s="10">
        <f t="shared" si="49"/>
        <v>0.66666666666666663</v>
      </c>
      <c r="BD23" s="7">
        <f t="shared" si="50"/>
        <v>1</v>
      </c>
      <c r="BE23" s="7">
        <f t="shared" si="50"/>
        <v>0</v>
      </c>
      <c r="BF23" s="8">
        <f t="shared" si="51"/>
        <v>1</v>
      </c>
      <c r="BG23" s="9">
        <f t="shared" si="52"/>
        <v>0.2</v>
      </c>
      <c r="BH23" s="9">
        <f t="shared" si="52"/>
        <v>0</v>
      </c>
      <c r="BI23" s="10">
        <f t="shared" si="52"/>
        <v>6.25E-2</v>
      </c>
      <c r="BJ23" s="7">
        <f t="shared" si="53"/>
        <v>0</v>
      </c>
      <c r="BK23" s="7">
        <f t="shared" si="53"/>
        <v>0</v>
      </c>
      <c r="BL23" s="8">
        <f t="shared" si="54"/>
        <v>0</v>
      </c>
      <c r="BM23" s="9">
        <f t="shared" si="55"/>
        <v>0</v>
      </c>
      <c r="BN23" s="9">
        <f t="shared" si="56"/>
        <v>0</v>
      </c>
      <c r="BO23" s="10">
        <f t="shared" si="57"/>
        <v>0</v>
      </c>
    </row>
    <row r="24" spans="1:67" ht="12" customHeight="1">
      <c r="A24" s="6">
        <v>14</v>
      </c>
      <c r="B24" s="19" t="s">
        <v>49</v>
      </c>
      <c r="C24" s="7">
        <v>5</v>
      </c>
      <c r="D24" s="7">
        <v>11</v>
      </c>
      <c r="E24" s="8">
        <f t="shared" si="30"/>
        <v>16</v>
      </c>
      <c r="F24" s="7">
        <v>4</v>
      </c>
      <c r="G24" s="7">
        <v>11</v>
      </c>
      <c r="H24" s="8">
        <f t="shared" si="31"/>
        <v>15</v>
      </c>
      <c r="I24" s="7">
        <v>1</v>
      </c>
      <c r="J24" s="7">
        <v>0</v>
      </c>
      <c r="K24" s="8">
        <f t="shared" si="32"/>
        <v>1</v>
      </c>
      <c r="L24" s="7">
        <v>0</v>
      </c>
      <c r="M24" s="7">
        <v>0</v>
      </c>
      <c r="N24" s="8">
        <f t="shared" si="33"/>
        <v>0</v>
      </c>
      <c r="O24" s="7">
        <v>0</v>
      </c>
      <c r="P24" s="7">
        <v>0</v>
      </c>
      <c r="Q24" s="8">
        <f t="shared" si="34"/>
        <v>0</v>
      </c>
      <c r="R24" s="7">
        <v>0</v>
      </c>
      <c r="S24" s="7">
        <v>0</v>
      </c>
      <c r="T24" s="8">
        <f t="shared" si="35"/>
        <v>0</v>
      </c>
      <c r="U24" s="7">
        <v>0</v>
      </c>
      <c r="V24" s="7">
        <v>0</v>
      </c>
      <c r="W24" s="8">
        <f t="shared" si="36"/>
        <v>0</v>
      </c>
      <c r="X24" s="7">
        <v>0</v>
      </c>
      <c r="Y24" s="7">
        <v>0</v>
      </c>
      <c r="Z24" s="8">
        <f t="shared" si="37"/>
        <v>0</v>
      </c>
      <c r="AA24" s="7">
        <v>0</v>
      </c>
      <c r="AB24" s="7">
        <v>0</v>
      </c>
      <c r="AC24" s="8">
        <f t="shared" si="38"/>
        <v>0</v>
      </c>
      <c r="AD24" s="7">
        <v>0</v>
      </c>
      <c r="AE24" s="7">
        <v>1</v>
      </c>
      <c r="AF24" s="8">
        <f t="shared" si="39"/>
        <v>1</v>
      </c>
      <c r="AG24" s="7">
        <v>0</v>
      </c>
      <c r="AH24" s="7">
        <v>0</v>
      </c>
      <c r="AI24" s="8">
        <f t="shared" si="40"/>
        <v>0</v>
      </c>
      <c r="AJ24" s="7">
        <v>1</v>
      </c>
      <c r="AK24" s="7">
        <v>4</v>
      </c>
      <c r="AL24" s="8">
        <f t="shared" si="41"/>
        <v>5</v>
      </c>
      <c r="AM24" s="7">
        <v>3</v>
      </c>
      <c r="AN24" s="7">
        <v>6</v>
      </c>
      <c r="AO24" s="8">
        <f t="shared" si="42"/>
        <v>9</v>
      </c>
      <c r="AP24" s="6">
        <f t="shared" si="13"/>
        <v>14</v>
      </c>
      <c r="AQ24" s="6" t="str">
        <f t="shared" si="13"/>
        <v>Literature in English</v>
      </c>
      <c r="AR24" s="7">
        <f t="shared" si="43"/>
        <v>0</v>
      </c>
      <c r="AS24" s="7">
        <f t="shared" si="43"/>
        <v>1</v>
      </c>
      <c r="AT24" s="8">
        <f t="shared" si="44"/>
        <v>1</v>
      </c>
      <c r="AU24" s="9">
        <f t="shared" si="45"/>
        <v>0</v>
      </c>
      <c r="AV24" s="9">
        <f t="shared" si="45"/>
        <v>9.0909090909090912E-2</v>
      </c>
      <c r="AW24" s="10">
        <f t="shared" si="45"/>
        <v>6.6666666666666666E-2</v>
      </c>
      <c r="AX24" s="7">
        <f t="shared" si="46"/>
        <v>4</v>
      </c>
      <c r="AY24" s="7">
        <f t="shared" si="46"/>
        <v>10</v>
      </c>
      <c r="AZ24" s="8">
        <f t="shared" si="47"/>
        <v>14</v>
      </c>
      <c r="BA24" s="9">
        <f t="shared" si="48"/>
        <v>1</v>
      </c>
      <c r="BB24" s="9">
        <f t="shared" si="48"/>
        <v>0.90909090909090906</v>
      </c>
      <c r="BC24" s="10">
        <f t="shared" si="49"/>
        <v>0.93333333333333335</v>
      </c>
      <c r="BD24" s="7">
        <f t="shared" si="50"/>
        <v>1</v>
      </c>
      <c r="BE24" s="7">
        <f t="shared" si="50"/>
        <v>0</v>
      </c>
      <c r="BF24" s="8">
        <f t="shared" si="51"/>
        <v>1</v>
      </c>
      <c r="BG24" s="9">
        <f t="shared" si="52"/>
        <v>0.2</v>
      </c>
      <c r="BH24" s="9">
        <f t="shared" si="52"/>
        <v>0</v>
      </c>
      <c r="BI24" s="10">
        <f t="shared" si="52"/>
        <v>6.25E-2</v>
      </c>
      <c r="BJ24" s="7">
        <f t="shared" si="53"/>
        <v>0</v>
      </c>
      <c r="BK24" s="7">
        <f t="shared" si="53"/>
        <v>0</v>
      </c>
      <c r="BL24" s="8">
        <f t="shared" si="54"/>
        <v>0</v>
      </c>
      <c r="BM24" s="9">
        <f t="shared" si="55"/>
        <v>0</v>
      </c>
      <c r="BN24" s="9">
        <f t="shared" si="56"/>
        <v>0</v>
      </c>
      <c r="BO24" s="10">
        <f t="shared" si="57"/>
        <v>0</v>
      </c>
    </row>
    <row r="25" spans="1:67" ht="12" customHeight="1">
      <c r="A25" s="6">
        <v>15</v>
      </c>
      <c r="B25" s="19" t="s">
        <v>50</v>
      </c>
      <c r="C25" s="7"/>
      <c r="D25" s="7"/>
      <c r="E25" s="8">
        <f t="shared" si="30"/>
        <v>0</v>
      </c>
      <c r="F25" s="7"/>
      <c r="G25" s="7"/>
      <c r="H25" s="8">
        <f t="shared" si="31"/>
        <v>0</v>
      </c>
      <c r="I25" s="7"/>
      <c r="J25" s="7"/>
      <c r="K25" s="8">
        <f t="shared" si="32"/>
        <v>0</v>
      </c>
      <c r="L25" s="7"/>
      <c r="M25" s="7"/>
      <c r="N25" s="8">
        <f t="shared" si="33"/>
        <v>0</v>
      </c>
      <c r="O25" s="7"/>
      <c r="P25" s="7"/>
      <c r="Q25" s="8">
        <f t="shared" si="34"/>
        <v>0</v>
      </c>
      <c r="R25" s="7"/>
      <c r="S25" s="7"/>
      <c r="T25" s="8">
        <f t="shared" si="35"/>
        <v>0</v>
      </c>
      <c r="U25" s="7"/>
      <c r="V25" s="7"/>
      <c r="W25" s="8">
        <f t="shared" si="36"/>
        <v>0</v>
      </c>
      <c r="X25" s="7"/>
      <c r="Y25" s="7"/>
      <c r="Z25" s="8">
        <f t="shared" si="37"/>
        <v>0</v>
      </c>
      <c r="AA25" s="7"/>
      <c r="AB25" s="7"/>
      <c r="AC25" s="8">
        <f t="shared" si="38"/>
        <v>0</v>
      </c>
      <c r="AD25" s="7"/>
      <c r="AE25" s="7"/>
      <c r="AF25" s="8">
        <f t="shared" si="39"/>
        <v>0</v>
      </c>
      <c r="AG25" s="7"/>
      <c r="AH25" s="7"/>
      <c r="AI25" s="8">
        <f t="shared" si="40"/>
        <v>0</v>
      </c>
      <c r="AJ25" s="7"/>
      <c r="AK25" s="7"/>
      <c r="AL25" s="8">
        <f t="shared" si="41"/>
        <v>0</v>
      </c>
      <c r="AM25" s="7"/>
      <c r="AN25" s="7"/>
      <c r="AO25" s="8">
        <f t="shared" si="42"/>
        <v>0</v>
      </c>
      <c r="AP25" s="6">
        <f t="shared" si="13"/>
        <v>15</v>
      </c>
      <c r="AQ25" s="6" t="str">
        <f t="shared" si="13"/>
        <v>Ghanaian Language</v>
      </c>
      <c r="AR25" s="7">
        <f t="shared" si="43"/>
        <v>0</v>
      </c>
      <c r="AS25" s="7">
        <f t="shared" si="43"/>
        <v>0</v>
      </c>
      <c r="AT25" s="8">
        <f t="shared" si="44"/>
        <v>0</v>
      </c>
      <c r="AU25" s="9">
        <f t="shared" si="45"/>
        <v>0</v>
      </c>
      <c r="AV25" s="9">
        <f t="shared" si="45"/>
        <v>0</v>
      </c>
      <c r="AW25" s="10">
        <f t="shared" si="45"/>
        <v>0</v>
      </c>
      <c r="AX25" s="7">
        <f t="shared" si="46"/>
        <v>0</v>
      </c>
      <c r="AY25" s="7">
        <f t="shared" si="46"/>
        <v>0</v>
      </c>
      <c r="AZ25" s="8">
        <f t="shared" si="47"/>
        <v>0</v>
      </c>
      <c r="BA25" s="9">
        <f t="shared" si="48"/>
        <v>0</v>
      </c>
      <c r="BB25" s="9">
        <f t="shared" si="48"/>
        <v>0</v>
      </c>
      <c r="BC25" s="10">
        <f t="shared" si="49"/>
        <v>0</v>
      </c>
      <c r="BD25" s="7">
        <f t="shared" si="50"/>
        <v>0</v>
      </c>
      <c r="BE25" s="7">
        <f t="shared" si="50"/>
        <v>0</v>
      </c>
      <c r="BF25" s="8">
        <f t="shared" si="51"/>
        <v>0</v>
      </c>
      <c r="BG25" s="9">
        <f t="shared" si="52"/>
        <v>0</v>
      </c>
      <c r="BH25" s="9">
        <f t="shared" si="52"/>
        <v>0</v>
      </c>
      <c r="BI25" s="10">
        <f t="shared" si="52"/>
        <v>0</v>
      </c>
      <c r="BJ25" s="7">
        <f t="shared" si="53"/>
        <v>0</v>
      </c>
      <c r="BK25" s="7">
        <f t="shared" si="53"/>
        <v>0</v>
      </c>
      <c r="BL25" s="8">
        <f t="shared" si="54"/>
        <v>0</v>
      </c>
      <c r="BM25" s="9">
        <f t="shared" si="55"/>
        <v>0</v>
      </c>
      <c r="BN25" s="9">
        <f t="shared" si="56"/>
        <v>0</v>
      </c>
      <c r="BO25" s="10">
        <f t="shared" si="57"/>
        <v>0</v>
      </c>
    </row>
    <row r="26" spans="1:67" ht="12" customHeight="1">
      <c r="A26" s="6">
        <v>16</v>
      </c>
      <c r="B26" s="19" t="s">
        <v>51</v>
      </c>
      <c r="C26" s="7"/>
      <c r="D26" s="7"/>
      <c r="E26" s="8">
        <f t="shared" si="30"/>
        <v>0</v>
      </c>
      <c r="F26" s="7"/>
      <c r="G26" s="7"/>
      <c r="H26" s="8">
        <f t="shared" si="31"/>
        <v>0</v>
      </c>
      <c r="I26" s="7"/>
      <c r="J26" s="7"/>
      <c r="K26" s="8">
        <f t="shared" si="32"/>
        <v>0</v>
      </c>
      <c r="L26" s="7"/>
      <c r="M26" s="7"/>
      <c r="N26" s="8">
        <f t="shared" si="33"/>
        <v>0</v>
      </c>
      <c r="O26" s="7"/>
      <c r="P26" s="7"/>
      <c r="Q26" s="8">
        <f t="shared" si="34"/>
        <v>0</v>
      </c>
      <c r="R26" s="7"/>
      <c r="S26" s="7"/>
      <c r="T26" s="8">
        <f t="shared" si="35"/>
        <v>0</v>
      </c>
      <c r="U26" s="7"/>
      <c r="V26" s="7"/>
      <c r="W26" s="8">
        <f t="shared" si="36"/>
        <v>0</v>
      </c>
      <c r="X26" s="7"/>
      <c r="Y26" s="7"/>
      <c r="Z26" s="8">
        <f t="shared" si="37"/>
        <v>0</v>
      </c>
      <c r="AA26" s="7"/>
      <c r="AB26" s="7"/>
      <c r="AC26" s="8">
        <f t="shared" si="38"/>
        <v>0</v>
      </c>
      <c r="AD26" s="7"/>
      <c r="AE26" s="7"/>
      <c r="AF26" s="8">
        <f t="shared" si="39"/>
        <v>0</v>
      </c>
      <c r="AG26" s="7"/>
      <c r="AH26" s="7"/>
      <c r="AI26" s="8">
        <f t="shared" si="40"/>
        <v>0</v>
      </c>
      <c r="AJ26" s="7"/>
      <c r="AK26" s="7"/>
      <c r="AL26" s="8">
        <f t="shared" si="41"/>
        <v>0</v>
      </c>
      <c r="AM26" s="7"/>
      <c r="AN26" s="7"/>
      <c r="AO26" s="8">
        <f t="shared" si="42"/>
        <v>0</v>
      </c>
      <c r="AP26" s="6">
        <f t="shared" ref="AP26:AQ41" si="58">A26</f>
        <v>16</v>
      </c>
      <c r="AQ26" s="6" t="str">
        <f t="shared" si="58"/>
        <v>French</v>
      </c>
      <c r="AR26" s="7">
        <f t="shared" si="43"/>
        <v>0</v>
      </c>
      <c r="AS26" s="7">
        <f t="shared" si="43"/>
        <v>0</v>
      </c>
      <c r="AT26" s="8">
        <f t="shared" si="44"/>
        <v>0</v>
      </c>
      <c r="AU26" s="9">
        <f t="shared" si="45"/>
        <v>0</v>
      </c>
      <c r="AV26" s="9">
        <f t="shared" si="45"/>
        <v>0</v>
      </c>
      <c r="AW26" s="10">
        <f t="shared" si="45"/>
        <v>0</v>
      </c>
      <c r="AX26" s="7">
        <f t="shared" si="46"/>
        <v>0</v>
      </c>
      <c r="AY26" s="7">
        <f t="shared" si="46"/>
        <v>0</v>
      </c>
      <c r="AZ26" s="8">
        <f t="shared" si="47"/>
        <v>0</v>
      </c>
      <c r="BA26" s="9">
        <f t="shared" si="48"/>
        <v>0</v>
      </c>
      <c r="BB26" s="9">
        <f t="shared" si="48"/>
        <v>0</v>
      </c>
      <c r="BC26" s="10">
        <f t="shared" si="49"/>
        <v>0</v>
      </c>
      <c r="BD26" s="7">
        <f t="shared" si="50"/>
        <v>0</v>
      </c>
      <c r="BE26" s="7">
        <f t="shared" si="50"/>
        <v>0</v>
      </c>
      <c r="BF26" s="8">
        <f t="shared" si="51"/>
        <v>0</v>
      </c>
      <c r="BG26" s="9">
        <f t="shared" si="52"/>
        <v>0</v>
      </c>
      <c r="BH26" s="9">
        <f t="shared" si="52"/>
        <v>0</v>
      </c>
      <c r="BI26" s="10">
        <f t="shared" si="52"/>
        <v>0</v>
      </c>
      <c r="BJ26" s="7">
        <f t="shared" si="53"/>
        <v>0</v>
      </c>
      <c r="BK26" s="7">
        <f t="shared" si="53"/>
        <v>0</v>
      </c>
      <c r="BL26" s="8">
        <f t="shared" si="54"/>
        <v>0</v>
      </c>
      <c r="BM26" s="9">
        <f t="shared" si="55"/>
        <v>0</v>
      </c>
      <c r="BN26" s="9">
        <f t="shared" si="56"/>
        <v>0</v>
      </c>
      <c r="BO26" s="10">
        <f t="shared" si="57"/>
        <v>0</v>
      </c>
    </row>
    <row r="27" spans="1:67" ht="12" customHeight="1">
      <c r="A27" s="6">
        <v>17</v>
      </c>
      <c r="B27" s="19" t="s">
        <v>52</v>
      </c>
      <c r="C27" s="7">
        <v>5</v>
      </c>
      <c r="D27" s="7">
        <v>11</v>
      </c>
      <c r="E27" s="8">
        <f t="shared" si="30"/>
        <v>16</v>
      </c>
      <c r="F27" s="7">
        <v>4</v>
      </c>
      <c r="G27" s="7">
        <v>11</v>
      </c>
      <c r="H27" s="8">
        <f t="shared" si="31"/>
        <v>15</v>
      </c>
      <c r="I27" s="7">
        <v>1</v>
      </c>
      <c r="J27" s="7">
        <v>0</v>
      </c>
      <c r="K27" s="8">
        <f t="shared" si="32"/>
        <v>1</v>
      </c>
      <c r="L27" s="7">
        <v>0</v>
      </c>
      <c r="M27" s="7">
        <v>0</v>
      </c>
      <c r="N27" s="8">
        <f t="shared" si="33"/>
        <v>0</v>
      </c>
      <c r="O27" s="7">
        <v>0</v>
      </c>
      <c r="P27" s="7">
        <v>1</v>
      </c>
      <c r="Q27" s="8">
        <f t="shared" si="34"/>
        <v>1</v>
      </c>
      <c r="R27" s="7">
        <v>0</v>
      </c>
      <c r="S27" s="7">
        <v>0</v>
      </c>
      <c r="T27" s="8">
        <f t="shared" si="35"/>
        <v>0</v>
      </c>
      <c r="U27" s="7">
        <v>1</v>
      </c>
      <c r="V27" s="7">
        <v>0</v>
      </c>
      <c r="W27" s="8">
        <f t="shared" si="36"/>
        <v>1</v>
      </c>
      <c r="X27" s="7">
        <v>0</v>
      </c>
      <c r="Y27" s="7">
        <v>2</v>
      </c>
      <c r="Z27" s="8">
        <f t="shared" si="37"/>
        <v>2</v>
      </c>
      <c r="AA27" s="7">
        <v>1</v>
      </c>
      <c r="AB27" s="7">
        <v>2</v>
      </c>
      <c r="AC27" s="8">
        <f t="shared" si="38"/>
        <v>3</v>
      </c>
      <c r="AD27" s="7">
        <v>2</v>
      </c>
      <c r="AE27" s="7">
        <v>1</v>
      </c>
      <c r="AF27" s="8">
        <f t="shared" si="39"/>
        <v>3</v>
      </c>
      <c r="AG27" s="7">
        <v>0</v>
      </c>
      <c r="AH27" s="7">
        <v>0</v>
      </c>
      <c r="AI27" s="8">
        <f t="shared" si="40"/>
        <v>0</v>
      </c>
      <c r="AJ27" s="7">
        <v>0</v>
      </c>
      <c r="AK27" s="7">
        <v>1</v>
      </c>
      <c r="AL27" s="8">
        <f t="shared" si="41"/>
        <v>1</v>
      </c>
      <c r="AM27" s="7">
        <v>0</v>
      </c>
      <c r="AN27" s="7">
        <v>4</v>
      </c>
      <c r="AO27" s="8">
        <f t="shared" si="42"/>
        <v>4</v>
      </c>
      <c r="AP27" s="6">
        <f t="shared" si="58"/>
        <v>17</v>
      </c>
      <c r="AQ27" s="6" t="str">
        <f t="shared" si="58"/>
        <v>Christian Religious Studies</v>
      </c>
      <c r="AR27" s="7">
        <f t="shared" si="43"/>
        <v>4</v>
      </c>
      <c r="AS27" s="7">
        <f t="shared" si="43"/>
        <v>6</v>
      </c>
      <c r="AT27" s="8">
        <f t="shared" si="44"/>
        <v>10</v>
      </c>
      <c r="AU27" s="9">
        <f t="shared" si="45"/>
        <v>1</v>
      </c>
      <c r="AV27" s="9">
        <f t="shared" si="45"/>
        <v>0.54545454545454541</v>
      </c>
      <c r="AW27" s="10">
        <f t="shared" si="45"/>
        <v>0.66666666666666663</v>
      </c>
      <c r="AX27" s="7">
        <f t="shared" si="46"/>
        <v>0</v>
      </c>
      <c r="AY27" s="7">
        <f t="shared" si="46"/>
        <v>5</v>
      </c>
      <c r="AZ27" s="8">
        <f t="shared" si="47"/>
        <v>5</v>
      </c>
      <c r="BA27" s="9">
        <f t="shared" si="48"/>
        <v>0</v>
      </c>
      <c r="BB27" s="9">
        <f t="shared" si="48"/>
        <v>0.45454545454545453</v>
      </c>
      <c r="BC27" s="10">
        <f t="shared" si="49"/>
        <v>0.33333333333333331</v>
      </c>
      <c r="BD27" s="7">
        <f t="shared" si="50"/>
        <v>1</v>
      </c>
      <c r="BE27" s="7">
        <f t="shared" si="50"/>
        <v>0</v>
      </c>
      <c r="BF27" s="8">
        <f t="shared" si="51"/>
        <v>1</v>
      </c>
      <c r="BG27" s="9">
        <f t="shared" si="52"/>
        <v>0.2</v>
      </c>
      <c r="BH27" s="9">
        <f t="shared" si="52"/>
        <v>0</v>
      </c>
      <c r="BI27" s="10">
        <f t="shared" si="52"/>
        <v>6.25E-2</v>
      </c>
      <c r="BJ27" s="7">
        <f t="shared" si="53"/>
        <v>0</v>
      </c>
      <c r="BK27" s="7">
        <f t="shared" si="53"/>
        <v>0</v>
      </c>
      <c r="BL27" s="8">
        <f t="shared" si="54"/>
        <v>0</v>
      </c>
      <c r="BM27" s="9">
        <f t="shared" si="55"/>
        <v>0</v>
      </c>
      <c r="BN27" s="9">
        <f t="shared" si="56"/>
        <v>0</v>
      </c>
      <c r="BO27" s="10">
        <f t="shared" si="57"/>
        <v>0</v>
      </c>
    </row>
    <row r="28" spans="1:67" ht="12" customHeight="1">
      <c r="A28" s="6">
        <v>18</v>
      </c>
      <c r="B28" s="19" t="s">
        <v>53</v>
      </c>
      <c r="C28" s="7"/>
      <c r="D28" s="7"/>
      <c r="E28" s="8">
        <f t="shared" si="30"/>
        <v>0</v>
      </c>
      <c r="F28" s="7"/>
      <c r="G28" s="7"/>
      <c r="H28" s="8">
        <f t="shared" si="31"/>
        <v>0</v>
      </c>
      <c r="I28" s="7"/>
      <c r="J28" s="7"/>
      <c r="K28" s="8">
        <f t="shared" si="32"/>
        <v>0</v>
      </c>
      <c r="L28" s="7"/>
      <c r="M28" s="7"/>
      <c r="N28" s="8">
        <f t="shared" si="33"/>
        <v>0</v>
      </c>
      <c r="O28" s="7"/>
      <c r="P28" s="7"/>
      <c r="Q28" s="8">
        <f t="shared" si="34"/>
        <v>0</v>
      </c>
      <c r="R28" s="7"/>
      <c r="S28" s="7"/>
      <c r="T28" s="8">
        <f t="shared" si="35"/>
        <v>0</v>
      </c>
      <c r="U28" s="7"/>
      <c r="V28" s="7"/>
      <c r="W28" s="8">
        <f t="shared" si="36"/>
        <v>0</v>
      </c>
      <c r="X28" s="7"/>
      <c r="Y28" s="7"/>
      <c r="Z28" s="8">
        <f t="shared" si="37"/>
        <v>0</v>
      </c>
      <c r="AA28" s="7"/>
      <c r="AB28" s="7"/>
      <c r="AC28" s="8">
        <f t="shared" si="38"/>
        <v>0</v>
      </c>
      <c r="AD28" s="7"/>
      <c r="AE28" s="7"/>
      <c r="AF28" s="8">
        <f t="shared" si="39"/>
        <v>0</v>
      </c>
      <c r="AG28" s="7"/>
      <c r="AH28" s="7"/>
      <c r="AI28" s="8">
        <f t="shared" si="40"/>
        <v>0</v>
      </c>
      <c r="AJ28" s="7"/>
      <c r="AK28" s="7"/>
      <c r="AL28" s="8">
        <f t="shared" si="41"/>
        <v>0</v>
      </c>
      <c r="AM28" s="7"/>
      <c r="AN28" s="7"/>
      <c r="AO28" s="8">
        <f t="shared" si="42"/>
        <v>0</v>
      </c>
      <c r="AP28" s="6">
        <f t="shared" si="58"/>
        <v>18</v>
      </c>
      <c r="AQ28" s="6" t="str">
        <f t="shared" si="58"/>
        <v xml:space="preserve">Islamic Religious Studies </v>
      </c>
      <c r="AR28" s="7">
        <f t="shared" si="43"/>
        <v>0</v>
      </c>
      <c r="AS28" s="7">
        <f t="shared" si="43"/>
        <v>0</v>
      </c>
      <c r="AT28" s="8">
        <f t="shared" si="44"/>
        <v>0</v>
      </c>
      <c r="AU28" s="9">
        <f t="shared" si="45"/>
        <v>0</v>
      </c>
      <c r="AV28" s="9">
        <f t="shared" si="45"/>
        <v>0</v>
      </c>
      <c r="AW28" s="10">
        <f t="shared" si="45"/>
        <v>0</v>
      </c>
      <c r="AX28" s="7">
        <f t="shared" si="46"/>
        <v>0</v>
      </c>
      <c r="AY28" s="7">
        <f t="shared" si="46"/>
        <v>0</v>
      </c>
      <c r="AZ28" s="8">
        <f t="shared" si="47"/>
        <v>0</v>
      </c>
      <c r="BA28" s="9">
        <f t="shared" si="48"/>
        <v>0</v>
      </c>
      <c r="BB28" s="9">
        <f t="shared" si="48"/>
        <v>0</v>
      </c>
      <c r="BC28" s="10">
        <f t="shared" si="49"/>
        <v>0</v>
      </c>
      <c r="BD28" s="7">
        <f t="shared" si="50"/>
        <v>0</v>
      </c>
      <c r="BE28" s="7">
        <f t="shared" si="50"/>
        <v>0</v>
      </c>
      <c r="BF28" s="8">
        <f t="shared" si="51"/>
        <v>0</v>
      </c>
      <c r="BG28" s="9">
        <f t="shared" si="52"/>
        <v>0</v>
      </c>
      <c r="BH28" s="9">
        <f t="shared" si="52"/>
        <v>0</v>
      </c>
      <c r="BI28" s="10">
        <f t="shared" si="52"/>
        <v>0</v>
      </c>
      <c r="BJ28" s="7">
        <f t="shared" si="53"/>
        <v>0</v>
      </c>
      <c r="BK28" s="7">
        <f t="shared" si="53"/>
        <v>0</v>
      </c>
      <c r="BL28" s="8">
        <f t="shared" si="54"/>
        <v>0</v>
      </c>
      <c r="BM28" s="9">
        <f t="shared" si="55"/>
        <v>0</v>
      </c>
      <c r="BN28" s="9">
        <f t="shared" si="56"/>
        <v>0</v>
      </c>
      <c r="BO28" s="10">
        <f t="shared" si="57"/>
        <v>0</v>
      </c>
    </row>
    <row r="29" spans="1:67" ht="12" customHeight="1">
      <c r="A29" s="6">
        <v>19</v>
      </c>
      <c r="B29" s="19" t="s">
        <v>54</v>
      </c>
      <c r="C29" s="7"/>
      <c r="D29" s="7"/>
      <c r="E29" s="8">
        <f t="shared" si="30"/>
        <v>0</v>
      </c>
      <c r="F29" s="7"/>
      <c r="G29" s="7"/>
      <c r="H29" s="8">
        <f t="shared" si="31"/>
        <v>0</v>
      </c>
      <c r="I29" s="7"/>
      <c r="J29" s="7"/>
      <c r="K29" s="8">
        <f t="shared" si="32"/>
        <v>0</v>
      </c>
      <c r="L29" s="7"/>
      <c r="M29" s="7"/>
      <c r="N29" s="8">
        <f t="shared" si="33"/>
        <v>0</v>
      </c>
      <c r="O29" s="7"/>
      <c r="P29" s="7"/>
      <c r="Q29" s="8">
        <f t="shared" si="34"/>
        <v>0</v>
      </c>
      <c r="R29" s="7"/>
      <c r="S29" s="7"/>
      <c r="T29" s="8">
        <f t="shared" si="35"/>
        <v>0</v>
      </c>
      <c r="U29" s="7"/>
      <c r="V29" s="7"/>
      <c r="W29" s="8">
        <f t="shared" si="36"/>
        <v>0</v>
      </c>
      <c r="X29" s="7"/>
      <c r="Y29" s="7"/>
      <c r="Z29" s="8">
        <f t="shared" si="37"/>
        <v>0</v>
      </c>
      <c r="AA29" s="7"/>
      <c r="AB29" s="7"/>
      <c r="AC29" s="8">
        <f t="shared" si="38"/>
        <v>0</v>
      </c>
      <c r="AD29" s="7"/>
      <c r="AE29" s="7"/>
      <c r="AF29" s="8">
        <f t="shared" si="39"/>
        <v>0</v>
      </c>
      <c r="AG29" s="7"/>
      <c r="AH29" s="7"/>
      <c r="AI29" s="8">
        <f t="shared" si="40"/>
        <v>0</v>
      </c>
      <c r="AJ29" s="7"/>
      <c r="AK29" s="7"/>
      <c r="AL29" s="8">
        <f t="shared" si="41"/>
        <v>0</v>
      </c>
      <c r="AM29" s="7"/>
      <c r="AN29" s="7"/>
      <c r="AO29" s="8">
        <f t="shared" si="42"/>
        <v>0</v>
      </c>
      <c r="AP29" s="6">
        <f t="shared" si="58"/>
        <v>19</v>
      </c>
      <c r="AQ29" s="6" t="str">
        <f t="shared" si="58"/>
        <v>General Knowledge in Art</v>
      </c>
      <c r="AR29" s="7">
        <f t="shared" si="43"/>
        <v>0</v>
      </c>
      <c r="AS29" s="7">
        <f t="shared" si="43"/>
        <v>0</v>
      </c>
      <c r="AT29" s="8">
        <f t="shared" si="44"/>
        <v>0</v>
      </c>
      <c r="AU29" s="9">
        <f t="shared" si="45"/>
        <v>0</v>
      </c>
      <c r="AV29" s="9">
        <f t="shared" si="45"/>
        <v>0</v>
      </c>
      <c r="AW29" s="10">
        <f t="shared" si="45"/>
        <v>0</v>
      </c>
      <c r="AX29" s="7">
        <f t="shared" si="46"/>
        <v>0</v>
      </c>
      <c r="AY29" s="7">
        <f t="shared" si="46"/>
        <v>0</v>
      </c>
      <c r="AZ29" s="8">
        <f t="shared" si="47"/>
        <v>0</v>
      </c>
      <c r="BA29" s="9">
        <f t="shared" si="48"/>
        <v>0</v>
      </c>
      <c r="BB29" s="9">
        <f t="shared" si="48"/>
        <v>0</v>
      </c>
      <c r="BC29" s="10">
        <f t="shared" si="49"/>
        <v>0</v>
      </c>
      <c r="BD29" s="7">
        <f t="shared" si="50"/>
        <v>0</v>
      </c>
      <c r="BE29" s="7">
        <f t="shared" si="50"/>
        <v>0</v>
      </c>
      <c r="BF29" s="8">
        <f t="shared" si="51"/>
        <v>0</v>
      </c>
      <c r="BG29" s="9">
        <f t="shared" si="52"/>
        <v>0</v>
      </c>
      <c r="BH29" s="9">
        <f t="shared" si="52"/>
        <v>0</v>
      </c>
      <c r="BI29" s="10">
        <f t="shared" si="52"/>
        <v>0</v>
      </c>
      <c r="BJ29" s="7">
        <f t="shared" si="53"/>
        <v>0</v>
      </c>
      <c r="BK29" s="7">
        <f t="shared" si="53"/>
        <v>0</v>
      </c>
      <c r="BL29" s="8">
        <f t="shared" si="54"/>
        <v>0</v>
      </c>
      <c r="BM29" s="9">
        <f t="shared" si="55"/>
        <v>0</v>
      </c>
      <c r="BN29" s="9">
        <f t="shared" si="56"/>
        <v>0</v>
      </c>
      <c r="BO29" s="10">
        <f t="shared" si="57"/>
        <v>0</v>
      </c>
    </row>
    <row r="30" spans="1:67" ht="12" customHeight="1">
      <c r="A30" s="6">
        <v>20</v>
      </c>
      <c r="B30" s="19" t="s">
        <v>55</v>
      </c>
      <c r="C30" s="7"/>
      <c r="D30" s="7"/>
      <c r="E30" s="8">
        <f t="shared" si="30"/>
        <v>0</v>
      </c>
      <c r="F30" s="7"/>
      <c r="G30" s="7"/>
      <c r="H30" s="8">
        <f t="shared" si="31"/>
        <v>0</v>
      </c>
      <c r="I30" s="7"/>
      <c r="J30" s="7"/>
      <c r="K30" s="8">
        <f t="shared" si="32"/>
        <v>0</v>
      </c>
      <c r="L30" s="7"/>
      <c r="M30" s="7"/>
      <c r="N30" s="8">
        <f t="shared" si="33"/>
        <v>0</v>
      </c>
      <c r="O30" s="7"/>
      <c r="P30" s="7"/>
      <c r="Q30" s="8">
        <f t="shared" si="34"/>
        <v>0</v>
      </c>
      <c r="R30" s="7"/>
      <c r="S30" s="7"/>
      <c r="T30" s="8">
        <f t="shared" si="35"/>
        <v>0</v>
      </c>
      <c r="U30" s="7"/>
      <c r="V30" s="7"/>
      <c r="W30" s="8">
        <f t="shared" si="36"/>
        <v>0</v>
      </c>
      <c r="X30" s="7"/>
      <c r="Y30" s="7"/>
      <c r="Z30" s="8">
        <f t="shared" si="37"/>
        <v>0</v>
      </c>
      <c r="AA30" s="7"/>
      <c r="AB30" s="7"/>
      <c r="AC30" s="8">
        <f t="shared" si="38"/>
        <v>0</v>
      </c>
      <c r="AD30" s="7"/>
      <c r="AE30" s="7"/>
      <c r="AF30" s="8">
        <f t="shared" si="39"/>
        <v>0</v>
      </c>
      <c r="AG30" s="7"/>
      <c r="AH30" s="7"/>
      <c r="AI30" s="8">
        <f t="shared" si="40"/>
        <v>0</v>
      </c>
      <c r="AJ30" s="7"/>
      <c r="AK30" s="7"/>
      <c r="AL30" s="8">
        <f t="shared" si="41"/>
        <v>0</v>
      </c>
      <c r="AM30" s="7"/>
      <c r="AN30" s="7"/>
      <c r="AO30" s="8">
        <f t="shared" si="42"/>
        <v>0</v>
      </c>
      <c r="AP30" s="6">
        <f t="shared" si="58"/>
        <v>20</v>
      </c>
      <c r="AQ30" s="6" t="str">
        <f t="shared" si="58"/>
        <v>Music</v>
      </c>
      <c r="AR30" s="7">
        <f t="shared" si="43"/>
        <v>0</v>
      </c>
      <c r="AS30" s="7">
        <f t="shared" si="43"/>
        <v>0</v>
      </c>
      <c r="AT30" s="8">
        <f t="shared" si="44"/>
        <v>0</v>
      </c>
      <c r="AU30" s="9">
        <f t="shared" si="45"/>
        <v>0</v>
      </c>
      <c r="AV30" s="9">
        <f t="shared" si="45"/>
        <v>0</v>
      </c>
      <c r="AW30" s="10">
        <f t="shared" si="45"/>
        <v>0</v>
      </c>
      <c r="AX30" s="7">
        <f t="shared" si="46"/>
        <v>0</v>
      </c>
      <c r="AY30" s="7">
        <f t="shared" si="46"/>
        <v>0</v>
      </c>
      <c r="AZ30" s="8">
        <f t="shared" si="47"/>
        <v>0</v>
      </c>
      <c r="BA30" s="9">
        <f t="shared" si="48"/>
        <v>0</v>
      </c>
      <c r="BB30" s="9">
        <f t="shared" si="48"/>
        <v>0</v>
      </c>
      <c r="BC30" s="10">
        <f t="shared" si="49"/>
        <v>0</v>
      </c>
      <c r="BD30" s="7">
        <f t="shared" si="50"/>
        <v>0</v>
      </c>
      <c r="BE30" s="7">
        <f t="shared" si="50"/>
        <v>0</v>
      </c>
      <c r="BF30" s="8">
        <f t="shared" si="51"/>
        <v>0</v>
      </c>
      <c r="BG30" s="9">
        <f t="shared" si="52"/>
        <v>0</v>
      </c>
      <c r="BH30" s="9">
        <f t="shared" si="52"/>
        <v>0</v>
      </c>
      <c r="BI30" s="10">
        <f t="shared" si="52"/>
        <v>0</v>
      </c>
      <c r="BJ30" s="7">
        <f t="shared" si="53"/>
        <v>0</v>
      </c>
      <c r="BK30" s="7">
        <f t="shared" si="53"/>
        <v>0</v>
      </c>
      <c r="BL30" s="8">
        <f t="shared" si="54"/>
        <v>0</v>
      </c>
      <c r="BM30" s="9">
        <f t="shared" si="55"/>
        <v>0</v>
      </c>
      <c r="BN30" s="9">
        <f t="shared" si="56"/>
        <v>0</v>
      </c>
      <c r="BO30" s="10">
        <f t="shared" si="57"/>
        <v>0</v>
      </c>
    </row>
    <row r="31" spans="1:67" ht="12" customHeight="1">
      <c r="A31" s="6">
        <v>21</v>
      </c>
      <c r="B31" s="6" t="s">
        <v>56</v>
      </c>
      <c r="C31" s="7"/>
      <c r="D31" s="7"/>
      <c r="E31" s="8">
        <f t="shared" si="30"/>
        <v>0</v>
      </c>
      <c r="F31" s="7"/>
      <c r="G31" s="7"/>
      <c r="H31" s="8">
        <f t="shared" si="31"/>
        <v>0</v>
      </c>
      <c r="I31" s="7"/>
      <c r="J31" s="7"/>
      <c r="K31" s="8">
        <f t="shared" si="32"/>
        <v>0</v>
      </c>
      <c r="L31" s="7"/>
      <c r="M31" s="7"/>
      <c r="N31" s="8">
        <f t="shared" si="33"/>
        <v>0</v>
      </c>
      <c r="O31" s="7"/>
      <c r="P31" s="7"/>
      <c r="Q31" s="8">
        <f t="shared" si="34"/>
        <v>0</v>
      </c>
      <c r="R31" s="7"/>
      <c r="S31" s="7"/>
      <c r="T31" s="8">
        <f t="shared" si="35"/>
        <v>0</v>
      </c>
      <c r="U31" s="7"/>
      <c r="V31" s="7"/>
      <c r="W31" s="8">
        <f t="shared" si="36"/>
        <v>0</v>
      </c>
      <c r="X31" s="7"/>
      <c r="Y31" s="7"/>
      <c r="Z31" s="8">
        <f t="shared" si="37"/>
        <v>0</v>
      </c>
      <c r="AA31" s="7"/>
      <c r="AB31" s="7"/>
      <c r="AC31" s="8">
        <f t="shared" si="38"/>
        <v>0</v>
      </c>
      <c r="AD31" s="7"/>
      <c r="AE31" s="7"/>
      <c r="AF31" s="8">
        <f t="shared" si="39"/>
        <v>0</v>
      </c>
      <c r="AG31" s="7"/>
      <c r="AH31" s="7"/>
      <c r="AI31" s="8">
        <f t="shared" si="40"/>
        <v>0</v>
      </c>
      <c r="AJ31" s="7"/>
      <c r="AK31" s="7"/>
      <c r="AL31" s="8">
        <f t="shared" si="41"/>
        <v>0</v>
      </c>
      <c r="AM31" s="7"/>
      <c r="AN31" s="7"/>
      <c r="AO31" s="8">
        <f t="shared" si="42"/>
        <v>0</v>
      </c>
      <c r="AP31" s="6">
        <f t="shared" si="58"/>
        <v>21</v>
      </c>
      <c r="AQ31" s="6" t="str">
        <f t="shared" si="58"/>
        <v>ICT (Elective)</v>
      </c>
      <c r="AR31" s="7">
        <f t="shared" si="43"/>
        <v>0</v>
      </c>
      <c r="AS31" s="7">
        <f t="shared" si="43"/>
        <v>0</v>
      </c>
      <c r="AT31" s="8">
        <f t="shared" si="44"/>
        <v>0</v>
      </c>
      <c r="AU31" s="9">
        <f t="shared" si="45"/>
        <v>0</v>
      </c>
      <c r="AV31" s="9">
        <f t="shared" si="45"/>
        <v>0</v>
      </c>
      <c r="AW31" s="10">
        <f t="shared" si="45"/>
        <v>0</v>
      </c>
      <c r="AX31" s="7">
        <f t="shared" si="46"/>
        <v>0</v>
      </c>
      <c r="AY31" s="7">
        <f t="shared" si="46"/>
        <v>0</v>
      </c>
      <c r="AZ31" s="8">
        <f t="shared" si="47"/>
        <v>0</v>
      </c>
      <c r="BA31" s="9">
        <f t="shared" si="48"/>
        <v>0</v>
      </c>
      <c r="BB31" s="9">
        <f t="shared" si="48"/>
        <v>0</v>
      </c>
      <c r="BC31" s="10">
        <f t="shared" si="49"/>
        <v>0</v>
      </c>
      <c r="BD31" s="7">
        <f t="shared" si="50"/>
        <v>0</v>
      </c>
      <c r="BE31" s="7">
        <f t="shared" si="50"/>
        <v>0</v>
      </c>
      <c r="BF31" s="8">
        <f t="shared" si="51"/>
        <v>0</v>
      </c>
      <c r="BG31" s="9">
        <f t="shared" si="52"/>
        <v>0</v>
      </c>
      <c r="BH31" s="9">
        <f t="shared" si="52"/>
        <v>0</v>
      </c>
      <c r="BI31" s="10">
        <f t="shared" si="52"/>
        <v>0</v>
      </c>
      <c r="BJ31" s="7">
        <f t="shared" si="53"/>
        <v>0</v>
      </c>
      <c r="BK31" s="7">
        <f t="shared" si="53"/>
        <v>0</v>
      </c>
      <c r="BL31" s="8">
        <f t="shared" si="54"/>
        <v>0</v>
      </c>
      <c r="BM31" s="9">
        <f t="shared" si="55"/>
        <v>0</v>
      </c>
      <c r="BN31" s="9">
        <f t="shared" si="56"/>
        <v>0</v>
      </c>
      <c r="BO31" s="10">
        <f t="shared" si="57"/>
        <v>0</v>
      </c>
    </row>
    <row r="32" spans="1:67" ht="12" customHeight="1">
      <c r="A32" s="6">
        <v>22</v>
      </c>
      <c r="B32" s="19" t="s">
        <v>57</v>
      </c>
      <c r="C32" s="7"/>
      <c r="D32" s="7"/>
      <c r="E32" s="8">
        <f t="shared" si="30"/>
        <v>0</v>
      </c>
      <c r="F32" s="7"/>
      <c r="G32" s="7"/>
      <c r="H32" s="8">
        <f t="shared" si="31"/>
        <v>0</v>
      </c>
      <c r="I32" s="7"/>
      <c r="J32" s="7"/>
      <c r="K32" s="8">
        <f t="shared" si="32"/>
        <v>0</v>
      </c>
      <c r="L32" s="7"/>
      <c r="M32" s="7"/>
      <c r="N32" s="8">
        <f t="shared" si="33"/>
        <v>0</v>
      </c>
      <c r="O32" s="7"/>
      <c r="P32" s="7"/>
      <c r="Q32" s="8">
        <f t="shared" si="34"/>
        <v>0</v>
      </c>
      <c r="R32" s="7"/>
      <c r="S32" s="7"/>
      <c r="T32" s="8">
        <f t="shared" si="35"/>
        <v>0</v>
      </c>
      <c r="U32" s="7"/>
      <c r="V32" s="7"/>
      <c r="W32" s="8">
        <f t="shared" si="36"/>
        <v>0</v>
      </c>
      <c r="X32" s="7"/>
      <c r="Y32" s="7"/>
      <c r="Z32" s="8">
        <f t="shared" si="37"/>
        <v>0</v>
      </c>
      <c r="AA32" s="7"/>
      <c r="AB32" s="7"/>
      <c r="AC32" s="8">
        <f t="shared" si="38"/>
        <v>0</v>
      </c>
      <c r="AD32" s="7"/>
      <c r="AE32" s="7"/>
      <c r="AF32" s="8">
        <f t="shared" si="39"/>
        <v>0</v>
      </c>
      <c r="AG32" s="7"/>
      <c r="AH32" s="7"/>
      <c r="AI32" s="8">
        <f t="shared" si="40"/>
        <v>0</v>
      </c>
      <c r="AJ32" s="7"/>
      <c r="AK32" s="7"/>
      <c r="AL32" s="8">
        <f t="shared" si="41"/>
        <v>0</v>
      </c>
      <c r="AM32" s="7"/>
      <c r="AN32" s="7"/>
      <c r="AO32" s="8">
        <f t="shared" si="42"/>
        <v>0</v>
      </c>
      <c r="AP32" s="6">
        <f t="shared" si="58"/>
        <v>22</v>
      </c>
      <c r="AQ32" s="6" t="str">
        <f t="shared" si="58"/>
        <v>General Agriculture</v>
      </c>
      <c r="AR32" s="7">
        <f t="shared" ref="AR32:AS47" si="59">SUM(O32,R32,U32,X32,AA32,AD32,AG32)</f>
        <v>0</v>
      </c>
      <c r="AS32" s="7">
        <f t="shared" si="59"/>
        <v>0</v>
      </c>
      <c r="AT32" s="8">
        <f t="shared" si="44"/>
        <v>0</v>
      </c>
      <c r="AU32" s="9">
        <f t="shared" ref="AU32:AW47" si="60">IF(F32=0,0,IF(F32&gt;0,AR32/F32))</f>
        <v>0</v>
      </c>
      <c r="AV32" s="9">
        <f t="shared" si="60"/>
        <v>0</v>
      </c>
      <c r="AW32" s="10">
        <f t="shared" si="60"/>
        <v>0</v>
      </c>
      <c r="AX32" s="7">
        <f t="shared" ref="AX32:AY47" si="61">SUM(AJ32,AM32)</f>
        <v>0</v>
      </c>
      <c r="AY32" s="7">
        <f t="shared" si="61"/>
        <v>0</v>
      </c>
      <c r="AZ32" s="8">
        <f t="shared" si="47"/>
        <v>0</v>
      </c>
      <c r="BA32" s="9">
        <f t="shared" ref="BA32:BB47" si="62">IF(AJ32=0,0,IF(AJ32+AM32&gt;0,(AJ32+AM32)/F32))</f>
        <v>0</v>
      </c>
      <c r="BB32" s="9">
        <f t="shared" si="62"/>
        <v>0</v>
      </c>
      <c r="BC32" s="10">
        <f t="shared" si="49"/>
        <v>0</v>
      </c>
      <c r="BD32" s="7">
        <f t="shared" ref="BD32:BE47" si="63">C32-F32</f>
        <v>0</v>
      </c>
      <c r="BE32" s="7">
        <f t="shared" si="63"/>
        <v>0</v>
      </c>
      <c r="BF32" s="8">
        <f t="shared" si="51"/>
        <v>0</v>
      </c>
      <c r="BG32" s="9">
        <f t="shared" ref="BG32:BI47" si="64">IF(C32=0,0,IF(C32&gt;0,(C32-F32)/C32))</f>
        <v>0</v>
      </c>
      <c r="BH32" s="9">
        <f t="shared" si="64"/>
        <v>0</v>
      </c>
      <c r="BI32" s="10">
        <f t="shared" si="64"/>
        <v>0</v>
      </c>
      <c r="BJ32" s="7">
        <f t="shared" ref="BJ32:BK47" si="65">L32</f>
        <v>0</v>
      </c>
      <c r="BK32" s="7">
        <f t="shared" si="65"/>
        <v>0</v>
      </c>
      <c r="BL32" s="8">
        <f t="shared" si="54"/>
        <v>0</v>
      </c>
      <c r="BM32" s="9">
        <f t="shared" si="55"/>
        <v>0</v>
      </c>
      <c r="BN32" s="9">
        <f t="shared" si="56"/>
        <v>0</v>
      </c>
      <c r="BO32" s="10">
        <f t="shared" si="57"/>
        <v>0</v>
      </c>
    </row>
    <row r="33" spans="1:67" ht="12" customHeight="1">
      <c r="A33" s="6">
        <v>23</v>
      </c>
      <c r="B33" s="19" t="s">
        <v>58</v>
      </c>
      <c r="C33" s="7"/>
      <c r="D33" s="7"/>
      <c r="E33" s="8">
        <f t="shared" si="30"/>
        <v>0</v>
      </c>
      <c r="F33" s="7"/>
      <c r="G33" s="7"/>
      <c r="H33" s="8">
        <f t="shared" si="31"/>
        <v>0</v>
      </c>
      <c r="I33" s="7"/>
      <c r="J33" s="7"/>
      <c r="K33" s="8">
        <f t="shared" si="32"/>
        <v>0</v>
      </c>
      <c r="L33" s="7"/>
      <c r="M33" s="7"/>
      <c r="N33" s="8">
        <f t="shared" si="33"/>
        <v>0</v>
      </c>
      <c r="O33" s="7"/>
      <c r="P33" s="7"/>
      <c r="Q33" s="8">
        <f t="shared" si="34"/>
        <v>0</v>
      </c>
      <c r="R33" s="7"/>
      <c r="S33" s="7"/>
      <c r="T33" s="8">
        <f t="shared" si="35"/>
        <v>0</v>
      </c>
      <c r="U33" s="7"/>
      <c r="V33" s="7"/>
      <c r="W33" s="8">
        <f t="shared" si="36"/>
        <v>0</v>
      </c>
      <c r="X33" s="7"/>
      <c r="Y33" s="7"/>
      <c r="Z33" s="8">
        <f t="shared" si="37"/>
        <v>0</v>
      </c>
      <c r="AA33" s="7"/>
      <c r="AB33" s="7"/>
      <c r="AC33" s="8">
        <f t="shared" si="38"/>
        <v>0</v>
      </c>
      <c r="AD33" s="7"/>
      <c r="AE33" s="7"/>
      <c r="AF33" s="8">
        <f t="shared" si="39"/>
        <v>0</v>
      </c>
      <c r="AG33" s="7"/>
      <c r="AH33" s="7"/>
      <c r="AI33" s="8">
        <f t="shared" si="40"/>
        <v>0</v>
      </c>
      <c r="AJ33" s="7"/>
      <c r="AK33" s="7"/>
      <c r="AL33" s="8">
        <f t="shared" si="41"/>
        <v>0</v>
      </c>
      <c r="AM33" s="7"/>
      <c r="AN33" s="7"/>
      <c r="AO33" s="8">
        <f t="shared" si="42"/>
        <v>0</v>
      </c>
      <c r="AP33" s="6">
        <f t="shared" si="58"/>
        <v>23</v>
      </c>
      <c r="AQ33" s="6" t="str">
        <f t="shared" si="58"/>
        <v>Animal Husbandry</v>
      </c>
      <c r="AR33" s="7">
        <f t="shared" si="59"/>
        <v>0</v>
      </c>
      <c r="AS33" s="7">
        <f t="shared" si="59"/>
        <v>0</v>
      </c>
      <c r="AT33" s="8">
        <f t="shared" si="44"/>
        <v>0</v>
      </c>
      <c r="AU33" s="9">
        <f t="shared" si="60"/>
        <v>0</v>
      </c>
      <c r="AV33" s="9">
        <f t="shared" si="60"/>
        <v>0</v>
      </c>
      <c r="AW33" s="10">
        <f t="shared" si="60"/>
        <v>0</v>
      </c>
      <c r="AX33" s="7">
        <f t="shared" si="61"/>
        <v>0</v>
      </c>
      <c r="AY33" s="7">
        <f t="shared" si="61"/>
        <v>0</v>
      </c>
      <c r="AZ33" s="8">
        <f t="shared" si="47"/>
        <v>0</v>
      </c>
      <c r="BA33" s="9">
        <f t="shared" si="62"/>
        <v>0</v>
      </c>
      <c r="BB33" s="9">
        <f t="shared" si="62"/>
        <v>0</v>
      </c>
      <c r="BC33" s="10">
        <f t="shared" si="49"/>
        <v>0</v>
      </c>
      <c r="BD33" s="7">
        <f t="shared" si="63"/>
        <v>0</v>
      </c>
      <c r="BE33" s="7">
        <f t="shared" si="63"/>
        <v>0</v>
      </c>
      <c r="BF33" s="8">
        <f t="shared" si="51"/>
        <v>0</v>
      </c>
      <c r="BG33" s="9">
        <f t="shared" si="64"/>
        <v>0</v>
      </c>
      <c r="BH33" s="9">
        <f t="shared" si="64"/>
        <v>0</v>
      </c>
      <c r="BI33" s="10">
        <f t="shared" si="64"/>
        <v>0</v>
      </c>
      <c r="BJ33" s="7">
        <f t="shared" si="65"/>
        <v>0</v>
      </c>
      <c r="BK33" s="7">
        <f t="shared" si="65"/>
        <v>0</v>
      </c>
      <c r="BL33" s="8">
        <f t="shared" si="54"/>
        <v>0</v>
      </c>
      <c r="BM33" s="9">
        <f t="shared" si="55"/>
        <v>0</v>
      </c>
      <c r="BN33" s="9">
        <f t="shared" si="56"/>
        <v>0</v>
      </c>
      <c r="BO33" s="10">
        <f t="shared" si="57"/>
        <v>0</v>
      </c>
    </row>
    <row r="34" spans="1:67" ht="12" customHeight="1">
      <c r="A34" s="6">
        <v>24</v>
      </c>
      <c r="B34" s="19" t="s">
        <v>59</v>
      </c>
      <c r="C34" s="7"/>
      <c r="D34" s="7"/>
      <c r="E34" s="8">
        <f t="shared" si="30"/>
        <v>0</v>
      </c>
      <c r="F34" s="7"/>
      <c r="G34" s="7"/>
      <c r="H34" s="8">
        <f t="shared" si="31"/>
        <v>0</v>
      </c>
      <c r="I34" s="7"/>
      <c r="J34" s="7"/>
      <c r="K34" s="8">
        <f t="shared" si="32"/>
        <v>0</v>
      </c>
      <c r="L34" s="7"/>
      <c r="M34" s="7"/>
      <c r="N34" s="8">
        <f t="shared" si="33"/>
        <v>0</v>
      </c>
      <c r="O34" s="7"/>
      <c r="P34" s="7"/>
      <c r="Q34" s="8">
        <f t="shared" si="34"/>
        <v>0</v>
      </c>
      <c r="R34" s="7"/>
      <c r="S34" s="7"/>
      <c r="T34" s="8">
        <f t="shared" si="35"/>
        <v>0</v>
      </c>
      <c r="U34" s="7"/>
      <c r="V34" s="7"/>
      <c r="W34" s="8">
        <f t="shared" si="36"/>
        <v>0</v>
      </c>
      <c r="X34" s="7"/>
      <c r="Y34" s="7"/>
      <c r="Z34" s="8">
        <f t="shared" si="37"/>
        <v>0</v>
      </c>
      <c r="AA34" s="7"/>
      <c r="AB34" s="7"/>
      <c r="AC34" s="8">
        <f t="shared" si="38"/>
        <v>0</v>
      </c>
      <c r="AD34" s="7"/>
      <c r="AE34" s="7"/>
      <c r="AF34" s="8">
        <f t="shared" si="39"/>
        <v>0</v>
      </c>
      <c r="AG34" s="7"/>
      <c r="AH34" s="7"/>
      <c r="AI34" s="8">
        <f t="shared" si="40"/>
        <v>0</v>
      </c>
      <c r="AJ34" s="7"/>
      <c r="AK34" s="7"/>
      <c r="AL34" s="8">
        <f t="shared" si="41"/>
        <v>0</v>
      </c>
      <c r="AM34" s="7"/>
      <c r="AN34" s="7"/>
      <c r="AO34" s="8">
        <f t="shared" si="42"/>
        <v>0</v>
      </c>
      <c r="AP34" s="6">
        <f t="shared" si="58"/>
        <v>24</v>
      </c>
      <c r="AQ34" s="6" t="str">
        <f t="shared" si="58"/>
        <v>Crop Husbandry</v>
      </c>
      <c r="AR34" s="7">
        <f t="shared" si="59"/>
        <v>0</v>
      </c>
      <c r="AS34" s="7">
        <f t="shared" si="59"/>
        <v>0</v>
      </c>
      <c r="AT34" s="8">
        <f t="shared" si="44"/>
        <v>0</v>
      </c>
      <c r="AU34" s="9">
        <f t="shared" si="60"/>
        <v>0</v>
      </c>
      <c r="AV34" s="9">
        <f t="shared" si="60"/>
        <v>0</v>
      </c>
      <c r="AW34" s="10">
        <f t="shared" si="60"/>
        <v>0</v>
      </c>
      <c r="AX34" s="7">
        <f t="shared" si="61"/>
        <v>0</v>
      </c>
      <c r="AY34" s="7">
        <f t="shared" si="61"/>
        <v>0</v>
      </c>
      <c r="AZ34" s="8">
        <f t="shared" si="47"/>
        <v>0</v>
      </c>
      <c r="BA34" s="9">
        <f t="shared" si="62"/>
        <v>0</v>
      </c>
      <c r="BB34" s="9">
        <f t="shared" si="62"/>
        <v>0</v>
      </c>
      <c r="BC34" s="10">
        <f t="shared" si="49"/>
        <v>0</v>
      </c>
      <c r="BD34" s="7">
        <f t="shared" si="63"/>
        <v>0</v>
      </c>
      <c r="BE34" s="7">
        <f t="shared" si="63"/>
        <v>0</v>
      </c>
      <c r="BF34" s="8">
        <f t="shared" si="51"/>
        <v>0</v>
      </c>
      <c r="BG34" s="9">
        <f t="shared" si="64"/>
        <v>0</v>
      </c>
      <c r="BH34" s="9">
        <f t="shared" si="64"/>
        <v>0</v>
      </c>
      <c r="BI34" s="10">
        <f t="shared" si="64"/>
        <v>0</v>
      </c>
      <c r="BJ34" s="7">
        <f t="shared" si="65"/>
        <v>0</v>
      </c>
      <c r="BK34" s="7">
        <f t="shared" si="65"/>
        <v>0</v>
      </c>
      <c r="BL34" s="8">
        <f t="shared" si="54"/>
        <v>0</v>
      </c>
      <c r="BM34" s="9">
        <f t="shared" si="55"/>
        <v>0</v>
      </c>
      <c r="BN34" s="9">
        <f t="shared" si="56"/>
        <v>0</v>
      </c>
      <c r="BO34" s="10">
        <f t="shared" si="57"/>
        <v>0</v>
      </c>
    </row>
    <row r="35" spans="1:67" ht="12" customHeight="1">
      <c r="A35" s="6">
        <v>25</v>
      </c>
      <c r="B35" s="19" t="s">
        <v>60</v>
      </c>
      <c r="C35" s="7"/>
      <c r="D35" s="7"/>
      <c r="E35" s="8">
        <f t="shared" si="30"/>
        <v>0</v>
      </c>
      <c r="F35" s="7"/>
      <c r="G35" s="7"/>
      <c r="H35" s="8">
        <f t="shared" si="31"/>
        <v>0</v>
      </c>
      <c r="I35" s="7"/>
      <c r="J35" s="7"/>
      <c r="K35" s="8">
        <f t="shared" si="32"/>
        <v>0</v>
      </c>
      <c r="L35" s="7"/>
      <c r="M35" s="7"/>
      <c r="N35" s="8">
        <f t="shared" si="33"/>
        <v>0</v>
      </c>
      <c r="O35" s="7"/>
      <c r="P35" s="7"/>
      <c r="Q35" s="8">
        <f t="shared" si="34"/>
        <v>0</v>
      </c>
      <c r="R35" s="7"/>
      <c r="S35" s="7"/>
      <c r="T35" s="8">
        <f t="shared" si="35"/>
        <v>0</v>
      </c>
      <c r="U35" s="7"/>
      <c r="V35" s="7"/>
      <c r="W35" s="8">
        <f t="shared" si="36"/>
        <v>0</v>
      </c>
      <c r="X35" s="7"/>
      <c r="Y35" s="7"/>
      <c r="Z35" s="8">
        <f t="shared" si="37"/>
        <v>0</v>
      </c>
      <c r="AA35" s="7"/>
      <c r="AB35" s="7"/>
      <c r="AC35" s="8">
        <f t="shared" si="38"/>
        <v>0</v>
      </c>
      <c r="AD35" s="7"/>
      <c r="AE35" s="7"/>
      <c r="AF35" s="8">
        <f t="shared" si="39"/>
        <v>0</v>
      </c>
      <c r="AG35" s="7"/>
      <c r="AH35" s="7"/>
      <c r="AI35" s="8">
        <f t="shared" si="40"/>
        <v>0</v>
      </c>
      <c r="AJ35" s="7"/>
      <c r="AK35" s="7"/>
      <c r="AL35" s="8">
        <f t="shared" si="41"/>
        <v>0</v>
      </c>
      <c r="AM35" s="7"/>
      <c r="AN35" s="7"/>
      <c r="AO35" s="8">
        <f t="shared" si="42"/>
        <v>0</v>
      </c>
      <c r="AP35" s="6">
        <f t="shared" si="58"/>
        <v>25</v>
      </c>
      <c r="AQ35" s="6" t="str">
        <f t="shared" si="58"/>
        <v>Fisheries</v>
      </c>
      <c r="AR35" s="7">
        <f t="shared" si="59"/>
        <v>0</v>
      </c>
      <c r="AS35" s="7">
        <f t="shared" si="59"/>
        <v>0</v>
      </c>
      <c r="AT35" s="8">
        <f t="shared" si="44"/>
        <v>0</v>
      </c>
      <c r="AU35" s="9">
        <f t="shared" si="60"/>
        <v>0</v>
      </c>
      <c r="AV35" s="9">
        <f t="shared" si="60"/>
        <v>0</v>
      </c>
      <c r="AW35" s="10">
        <f t="shared" si="60"/>
        <v>0</v>
      </c>
      <c r="AX35" s="7">
        <f t="shared" si="61"/>
        <v>0</v>
      </c>
      <c r="AY35" s="7">
        <f t="shared" si="61"/>
        <v>0</v>
      </c>
      <c r="AZ35" s="8">
        <f t="shared" si="47"/>
        <v>0</v>
      </c>
      <c r="BA35" s="9">
        <f t="shared" si="62"/>
        <v>0</v>
      </c>
      <c r="BB35" s="9">
        <f t="shared" si="62"/>
        <v>0</v>
      </c>
      <c r="BC35" s="10">
        <f t="shared" si="49"/>
        <v>0</v>
      </c>
      <c r="BD35" s="7">
        <f t="shared" si="63"/>
        <v>0</v>
      </c>
      <c r="BE35" s="7">
        <f t="shared" si="63"/>
        <v>0</v>
      </c>
      <c r="BF35" s="8">
        <f t="shared" si="51"/>
        <v>0</v>
      </c>
      <c r="BG35" s="9">
        <f t="shared" si="64"/>
        <v>0</v>
      </c>
      <c r="BH35" s="9">
        <f t="shared" si="64"/>
        <v>0</v>
      </c>
      <c r="BI35" s="10">
        <f t="shared" si="64"/>
        <v>0</v>
      </c>
      <c r="BJ35" s="7">
        <f t="shared" si="65"/>
        <v>0</v>
      </c>
      <c r="BK35" s="7">
        <f t="shared" si="65"/>
        <v>0</v>
      </c>
      <c r="BL35" s="8">
        <f t="shared" si="54"/>
        <v>0</v>
      </c>
      <c r="BM35" s="9">
        <f t="shared" si="55"/>
        <v>0</v>
      </c>
      <c r="BN35" s="9">
        <f t="shared" si="56"/>
        <v>0</v>
      </c>
      <c r="BO35" s="10">
        <f t="shared" si="57"/>
        <v>0</v>
      </c>
    </row>
    <row r="36" spans="1:67" ht="12" customHeight="1">
      <c r="A36" s="6">
        <v>26</v>
      </c>
      <c r="B36" s="19" t="s">
        <v>61</v>
      </c>
      <c r="C36" s="7"/>
      <c r="D36" s="7"/>
      <c r="E36" s="8">
        <f t="shared" si="30"/>
        <v>0</v>
      </c>
      <c r="F36" s="7"/>
      <c r="G36" s="7"/>
      <c r="H36" s="8">
        <f t="shared" si="31"/>
        <v>0</v>
      </c>
      <c r="I36" s="7"/>
      <c r="J36" s="7"/>
      <c r="K36" s="8">
        <f t="shared" si="32"/>
        <v>0</v>
      </c>
      <c r="L36" s="7"/>
      <c r="M36" s="7"/>
      <c r="N36" s="8">
        <f t="shared" si="33"/>
        <v>0</v>
      </c>
      <c r="O36" s="7"/>
      <c r="P36" s="7"/>
      <c r="Q36" s="8">
        <f t="shared" si="34"/>
        <v>0</v>
      </c>
      <c r="R36" s="7"/>
      <c r="S36" s="7"/>
      <c r="T36" s="8">
        <f t="shared" si="35"/>
        <v>0</v>
      </c>
      <c r="U36" s="7"/>
      <c r="V36" s="7"/>
      <c r="W36" s="8">
        <f t="shared" si="36"/>
        <v>0</v>
      </c>
      <c r="X36" s="7"/>
      <c r="Y36" s="7"/>
      <c r="Z36" s="8">
        <f t="shared" si="37"/>
        <v>0</v>
      </c>
      <c r="AA36" s="7"/>
      <c r="AB36" s="7"/>
      <c r="AC36" s="8">
        <f t="shared" si="38"/>
        <v>0</v>
      </c>
      <c r="AD36" s="7"/>
      <c r="AE36" s="7"/>
      <c r="AF36" s="8">
        <f t="shared" si="39"/>
        <v>0</v>
      </c>
      <c r="AG36" s="7"/>
      <c r="AH36" s="7"/>
      <c r="AI36" s="8">
        <f t="shared" si="40"/>
        <v>0</v>
      </c>
      <c r="AJ36" s="7"/>
      <c r="AK36" s="7"/>
      <c r="AL36" s="8">
        <f t="shared" si="41"/>
        <v>0</v>
      </c>
      <c r="AM36" s="7"/>
      <c r="AN36" s="7"/>
      <c r="AO36" s="8">
        <f t="shared" si="42"/>
        <v>0</v>
      </c>
      <c r="AP36" s="6">
        <f t="shared" si="58"/>
        <v>26</v>
      </c>
      <c r="AQ36" s="6" t="str">
        <f t="shared" si="58"/>
        <v>Forestry</v>
      </c>
      <c r="AR36" s="7">
        <f t="shared" si="59"/>
        <v>0</v>
      </c>
      <c r="AS36" s="7">
        <f t="shared" si="59"/>
        <v>0</v>
      </c>
      <c r="AT36" s="8">
        <f t="shared" si="44"/>
        <v>0</v>
      </c>
      <c r="AU36" s="9">
        <f t="shared" si="60"/>
        <v>0</v>
      </c>
      <c r="AV36" s="9">
        <f t="shared" si="60"/>
        <v>0</v>
      </c>
      <c r="AW36" s="10">
        <f t="shared" si="60"/>
        <v>0</v>
      </c>
      <c r="AX36" s="7">
        <f t="shared" si="61"/>
        <v>0</v>
      </c>
      <c r="AY36" s="7">
        <f t="shared" si="61"/>
        <v>0</v>
      </c>
      <c r="AZ36" s="8">
        <f t="shared" si="47"/>
        <v>0</v>
      </c>
      <c r="BA36" s="9">
        <f t="shared" si="62"/>
        <v>0</v>
      </c>
      <c r="BB36" s="9">
        <f t="shared" si="62"/>
        <v>0</v>
      </c>
      <c r="BC36" s="10">
        <f t="shared" si="49"/>
        <v>0</v>
      </c>
      <c r="BD36" s="7">
        <f t="shared" si="63"/>
        <v>0</v>
      </c>
      <c r="BE36" s="7">
        <f t="shared" si="63"/>
        <v>0</v>
      </c>
      <c r="BF36" s="8">
        <f t="shared" si="51"/>
        <v>0</v>
      </c>
      <c r="BG36" s="9">
        <f t="shared" si="64"/>
        <v>0</v>
      </c>
      <c r="BH36" s="9">
        <f t="shared" si="64"/>
        <v>0</v>
      </c>
      <c r="BI36" s="10">
        <f t="shared" si="64"/>
        <v>0</v>
      </c>
      <c r="BJ36" s="7">
        <f t="shared" si="65"/>
        <v>0</v>
      </c>
      <c r="BK36" s="7">
        <f t="shared" si="65"/>
        <v>0</v>
      </c>
      <c r="BL36" s="8">
        <f t="shared" si="54"/>
        <v>0</v>
      </c>
      <c r="BM36" s="9">
        <f t="shared" si="55"/>
        <v>0</v>
      </c>
      <c r="BN36" s="9">
        <f t="shared" si="56"/>
        <v>0</v>
      </c>
      <c r="BO36" s="10">
        <f t="shared" si="57"/>
        <v>0</v>
      </c>
    </row>
    <row r="37" spans="1:67" ht="12" customHeight="1">
      <c r="A37" s="6">
        <v>27</v>
      </c>
      <c r="B37" s="19" t="s">
        <v>62</v>
      </c>
      <c r="C37" s="7"/>
      <c r="D37" s="7"/>
      <c r="E37" s="8">
        <f t="shared" si="30"/>
        <v>0</v>
      </c>
      <c r="F37" s="7"/>
      <c r="G37" s="7"/>
      <c r="H37" s="8">
        <f t="shared" si="31"/>
        <v>0</v>
      </c>
      <c r="I37" s="7"/>
      <c r="J37" s="7"/>
      <c r="K37" s="8">
        <f t="shared" si="32"/>
        <v>0</v>
      </c>
      <c r="L37" s="7"/>
      <c r="M37" s="7"/>
      <c r="N37" s="8">
        <f t="shared" si="33"/>
        <v>0</v>
      </c>
      <c r="O37" s="7"/>
      <c r="P37" s="7"/>
      <c r="Q37" s="8">
        <f t="shared" si="34"/>
        <v>0</v>
      </c>
      <c r="R37" s="7"/>
      <c r="S37" s="7"/>
      <c r="T37" s="8">
        <f t="shared" si="35"/>
        <v>0</v>
      </c>
      <c r="U37" s="7"/>
      <c r="V37" s="7"/>
      <c r="W37" s="8">
        <f t="shared" si="36"/>
        <v>0</v>
      </c>
      <c r="X37" s="7"/>
      <c r="Y37" s="7"/>
      <c r="Z37" s="8">
        <f t="shared" si="37"/>
        <v>0</v>
      </c>
      <c r="AA37" s="7"/>
      <c r="AB37" s="7"/>
      <c r="AC37" s="8">
        <f t="shared" si="38"/>
        <v>0</v>
      </c>
      <c r="AD37" s="7"/>
      <c r="AE37" s="7"/>
      <c r="AF37" s="8">
        <f t="shared" si="39"/>
        <v>0</v>
      </c>
      <c r="AG37" s="7"/>
      <c r="AH37" s="7"/>
      <c r="AI37" s="8">
        <f t="shared" si="40"/>
        <v>0</v>
      </c>
      <c r="AJ37" s="7"/>
      <c r="AK37" s="7"/>
      <c r="AL37" s="8">
        <f t="shared" si="41"/>
        <v>0</v>
      </c>
      <c r="AM37" s="7"/>
      <c r="AN37" s="7"/>
      <c r="AO37" s="8">
        <f t="shared" si="42"/>
        <v>0</v>
      </c>
      <c r="AP37" s="6">
        <f t="shared" si="58"/>
        <v>27</v>
      </c>
      <c r="AQ37" s="6" t="str">
        <f t="shared" si="58"/>
        <v>Financial Accounting</v>
      </c>
      <c r="AR37" s="7">
        <f t="shared" si="59"/>
        <v>0</v>
      </c>
      <c r="AS37" s="7">
        <f t="shared" si="59"/>
        <v>0</v>
      </c>
      <c r="AT37" s="8">
        <f t="shared" si="44"/>
        <v>0</v>
      </c>
      <c r="AU37" s="9">
        <f t="shared" si="60"/>
        <v>0</v>
      </c>
      <c r="AV37" s="9">
        <f t="shared" si="60"/>
        <v>0</v>
      </c>
      <c r="AW37" s="10">
        <f t="shared" si="60"/>
        <v>0</v>
      </c>
      <c r="AX37" s="7">
        <f t="shared" si="61"/>
        <v>0</v>
      </c>
      <c r="AY37" s="7">
        <f t="shared" si="61"/>
        <v>0</v>
      </c>
      <c r="AZ37" s="8">
        <f t="shared" si="47"/>
        <v>0</v>
      </c>
      <c r="BA37" s="9">
        <f t="shared" si="62"/>
        <v>0</v>
      </c>
      <c r="BB37" s="9">
        <f t="shared" si="62"/>
        <v>0</v>
      </c>
      <c r="BC37" s="10">
        <f t="shared" si="49"/>
        <v>0</v>
      </c>
      <c r="BD37" s="7">
        <f t="shared" si="63"/>
        <v>0</v>
      </c>
      <c r="BE37" s="7">
        <f t="shared" si="63"/>
        <v>0</v>
      </c>
      <c r="BF37" s="8">
        <f t="shared" si="51"/>
        <v>0</v>
      </c>
      <c r="BG37" s="9">
        <f t="shared" si="64"/>
        <v>0</v>
      </c>
      <c r="BH37" s="9">
        <f t="shared" si="64"/>
        <v>0</v>
      </c>
      <c r="BI37" s="10">
        <f t="shared" si="64"/>
        <v>0</v>
      </c>
      <c r="BJ37" s="7">
        <f t="shared" si="65"/>
        <v>0</v>
      </c>
      <c r="BK37" s="7">
        <f t="shared" si="65"/>
        <v>0</v>
      </c>
      <c r="BL37" s="8">
        <f t="shared" si="54"/>
        <v>0</v>
      </c>
      <c r="BM37" s="9">
        <f t="shared" si="55"/>
        <v>0</v>
      </c>
      <c r="BN37" s="9">
        <f t="shared" si="56"/>
        <v>0</v>
      </c>
      <c r="BO37" s="10">
        <f t="shared" si="57"/>
        <v>0</v>
      </c>
    </row>
    <row r="38" spans="1:67" ht="12" customHeight="1">
      <c r="A38" s="6">
        <v>28</v>
      </c>
      <c r="B38" s="19" t="s">
        <v>63</v>
      </c>
      <c r="C38" s="7"/>
      <c r="D38" s="7"/>
      <c r="E38" s="8">
        <f t="shared" si="30"/>
        <v>0</v>
      </c>
      <c r="F38" s="7"/>
      <c r="G38" s="7"/>
      <c r="H38" s="8">
        <f t="shared" si="31"/>
        <v>0</v>
      </c>
      <c r="I38" s="7"/>
      <c r="J38" s="7"/>
      <c r="K38" s="8">
        <f t="shared" si="32"/>
        <v>0</v>
      </c>
      <c r="L38" s="7"/>
      <c r="M38" s="7"/>
      <c r="N38" s="8">
        <f t="shared" si="33"/>
        <v>0</v>
      </c>
      <c r="O38" s="7"/>
      <c r="P38" s="7"/>
      <c r="Q38" s="8">
        <f t="shared" si="34"/>
        <v>0</v>
      </c>
      <c r="R38" s="7"/>
      <c r="S38" s="7"/>
      <c r="T38" s="8">
        <f t="shared" si="35"/>
        <v>0</v>
      </c>
      <c r="U38" s="7"/>
      <c r="V38" s="7"/>
      <c r="W38" s="8">
        <f t="shared" si="36"/>
        <v>0</v>
      </c>
      <c r="X38" s="7"/>
      <c r="Y38" s="7"/>
      <c r="Z38" s="8">
        <f t="shared" si="37"/>
        <v>0</v>
      </c>
      <c r="AA38" s="7"/>
      <c r="AB38" s="7"/>
      <c r="AC38" s="8">
        <f t="shared" si="38"/>
        <v>0</v>
      </c>
      <c r="AD38" s="7"/>
      <c r="AE38" s="7"/>
      <c r="AF38" s="8">
        <f t="shared" si="39"/>
        <v>0</v>
      </c>
      <c r="AG38" s="7"/>
      <c r="AH38" s="7"/>
      <c r="AI38" s="8">
        <f t="shared" si="40"/>
        <v>0</v>
      </c>
      <c r="AJ38" s="7"/>
      <c r="AK38" s="7"/>
      <c r="AL38" s="8">
        <f t="shared" si="41"/>
        <v>0</v>
      </c>
      <c r="AM38" s="7"/>
      <c r="AN38" s="7"/>
      <c r="AO38" s="8">
        <f t="shared" si="42"/>
        <v>0</v>
      </c>
      <c r="AP38" s="6">
        <f t="shared" si="58"/>
        <v>28</v>
      </c>
      <c r="AQ38" s="6" t="str">
        <f t="shared" si="58"/>
        <v>Business Management</v>
      </c>
      <c r="AR38" s="7">
        <f t="shared" si="59"/>
        <v>0</v>
      </c>
      <c r="AS38" s="7">
        <f t="shared" si="59"/>
        <v>0</v>
      </c>
      <c r="AT38" s="8">
        <f t="shared" si="44"/>
        <v>0</v>
      </c>
      <c r="AU38" s="9">
        <f t="shared" si="60"/>
        <v>0</v>
      </c>
      <c r="AV38" s="9">
        <f t="shared" si="60"/>
        <v>0</v>
      </c>
      <c r="AW38" s="10">
        <f t="shared" si="60"/>
        <v>0</v>
      </c>
      <c r="AX38" s="7">
        <f t="shared" si="61"/>
        <v>0</v>
      </c>
      <c r="AY38" s="7">
        <f t="shared" si="61"/>
        <v>0</v>
      </c>
      <c r="AZ38" s="8">
        <f t="shared" si="47"/>
        <v>0</v>
      </c>
      <c r="BA38" s="9">
        <f t="shared" si="62"/>
        <v>0</v>
      </c>
      <c r="BB38" s="9">
        <f t="shared" si="62"/>
        <v>0</v>
      </c>
      <c r="BC38" s="10">
        <f t="shared" si="49"/>
        <v>0</v>
      </c>
      <c r="BD38" s="7">
        <f t="shared" si="63"/>
        <v>0</v>
      </c>
      <c r="BE38" s="7">
        <f t="shared" si="63"/>
        <v>0</v>
      </c>
      <c r="BF38" s="8">
        <f t="shared" si="51"/>
        <v>0</v>
      </c>
      <c r="BG38" s="9">
        <f t="shared" si="64"/>
        <v>0</v>
      </c>
      <c r="BH38" s="9">
        <f t="shared" si="64"/>
        <v>0</v>
      </c>
      <c r="BI38" s="10">
        <f t="shared" si="64"/>
        <v>0</v>
      </c>
      <c r="BJ38" s="7">
        <f t="shared" si="65"/>
        <v>0</v>
      </c>
      <c r="BK38" s="7">
        <f t="shared" si="65"/>
        <v>0</v>
      </c>
      <c r="BL38" s="8">
        <f t="shared" si="54"/>
        <v>0</v>
      </c>
      <c r="BM38" s="9">
        <f t="shared" si="55"/>
        <v>0</v>
      </c>
      <c r="BN38" s="9">
        <f t="shared" si="56"/>
        <v>0</v>
      </c>
      <c r="BO38" s="10">
        <f t="shared" si="57"/>
        <v>0</v>
      </c>
    </row>
    <row r="39" spans="1:67" ht="12" customHeight="1">
      <c r="A39" s="6">
        <v>29</v>
      </c>
      <c r="B39" s="19" t="s">
        <v>64</v>
      </c>
      <c r="C39" s="7"/>
      <c r="D39" s="7"/>
      <c r="E39" s="8">
        <f t="shared" si="30"/>
        <v>0</v>
      </c>
      <c r="F39" s="7"/>
      <c r="G39" s="7"/>
      <c r="H39" s="8">
        <f t="shared" si="31"/>
        <v>0</v>
      </c>
      <c r="I39" s="7"/>
      <c r="J39" s="7"/>
      <c r="K39" s="8">
        <f t="shared" si="32"/>
        <v>0</v>
      </c>
      <c r="L39" s="7"/>
      <c r="M39" s="7"/>
      <c r="N39" s="8">
        <f t="shared" si="33"/>
        <v>0</v>
      </c>
      <c r="O39" s="7"/>
      <c r="P39" s="7"/>
      <c r="Q39" s="8">
        <f t="shared" si="34"/>
        <v>0</v>
      </c>
      <c r="R39" s="7"/>
      <c r="S39" s="7"/>
      <c r="T39" s="8">
        <f t="shared" si="35"/>
        <v>0</v>
      </c>
      <c r="U39" s="7"/>
      <c r="V39" s="7"/>
      <c r="W39" s="8">
        <f t="shared" si="36"/>
        <v>0</v>
      </c>
      <c r="X39" s="7"/>
      <c r="Y39" s="7"/>
      <c r="Z39" s="8">
        <f t="shared" si="37"/>
        <v>0</v>
      </c>
      <c r="AA39" s="7"/>
      <c r="AB39" s="7"/>
      <c r="AC39" s="8">
        <f t="shared" si="38"/>
        <v>0</v>
      </c>
      <c r="AD39" s="7"/>
      <c r="AE39" s="7"/>
      <c r="AF39" s="8">
        <f t="shared" si="39"/>
        <v>0</v>
      </c>
      <c r="AG39" s="7"/>
      <c r="AH39" s="7"/>
      <c r="AI39" s="8">
        <f t="shared" si="40"/>
        <v>0</v>
      </c>
      <c r="AJ39" s="7"/>
      <c r="AK39" s="7"/>
      <c r="AL39" s="8">
        <f t="shared" si="41"/>
        <v>0</v>
      </c>
      <c r="AM39" s="7"/>
      <c r="AN39" s="7"/>
      <c r="AO39" s="8">
        <f t="shared" si="42"/>
        <v>0</v>
      </c>
      <c r="AP39" s="6">
        <f t="shared" si="58"/>
        <v>29</v>
      </c>
      <c r="AQ39" s="6" t="str">
        <f t="shared" si="58"/>
        <v>Costing Accounting</v>
      </c>
      <c r="AR39" s="7">
        <f t="shared" si="59"/>
        <v>0</v>
      </c>
      <c r="AS39" s="7">
        <f t="shared" si="59"/>
        <v>0</v>
      </c>
      <c r="AT39" s="8">
        <f t="shared" si="44"/>
        <v>0</v>
      </c>
      <c r="AU39" s="9">
        <f t="shared" si="60"/>
        <v>0</v>
      </c>
      <c r="AV39" s="9">
        <f t="shared" si="60"/>
        <v>0</v>
      </c>
      <c r="AW39" s="10">
        <f t="shared" si="60"/>
        <v>0</v>
      </c>
      <c r="AX39" s="7">
        <f t="shared" si="61"/>
        <v>0</v>
      </c>
      <c r="AY39" s="7">
        <f t="shared" si="61"/>
        <v>0</v>
      </c>
      <c r="AZ39" s="8">
        <f t="shared" si="47"/>
        <v>0</v>
      </c>
      <c r="BA39" s="9">
        <f t="shared" si="62"/>
        <v>0</v>
      </c>
      <c r="BB39" s="9">
        <f t="shared" si="62"/>
        <v>0</v>
      </c>
      <c r="BC39" s="10">
        <f t="shared" si="49"/>
        <v>0</v>
      </c>
      <c r="BD39" s="7">
        <f t="shared" si="63"/>
        <v>0</v>
      </c>
      <c r="BE39" s="7">
        <f t="shared" si="63"/>
        <v>0</v>
      </c>
      <c r="BF39" s="8">
        <f t="shared" si="51"/>
        <v>0</v>
      </c>
      <c r="BG39" s="9">
        <f t="shared" si="64"/>
        <v>0</v>
      </c>
      <c r="BH39" s="9">
        <f t="shared" si="64"/>
        <v>0</v>
      </c>
      <c r="BI39" s="10">
        <f t="shared" si="64"/>
        <v>0</v>
      </c>
      <c r="BJ39" s="7">
        <f t="shared" si="65"/>
        <v>0</v>
      </c>
      <c r="BK39" s="7">
        <f t="shared" si="65"/>
        <v>0</v>
      </c>
      <c r="BL39" s="8">
        <f t="shared" si="54"/>
        <v>0</v>
      </c>
      <c r="BM39" s="9">
        <f t="shared" si="55"/>
        <v>0</v>
      </c>
      <c r="BN39" s="9">
        <f t="shared" si="56"/>
        <v>0</v>
      </c>
      <c r="BO39" s="10">
        <f t="shared" si="57"/>
        <v>0</v>
      </c>
    </row>
    <row r="40" spans="1:67" ht="12" customHeight="1">
      <c r="A40" s="6">
        <v>30</v>
      </c>
      <c r="B40" s="19" t="s">
        <v>65</v>
      </c>
      <c r="C40" s="7"/>
      <c r="D40" s="7"/>
      <c r="E40" s="8">
        <f t="shared" si="30"/>
        <v>0</v>
      </c>
      <c r="F40" s="7"/>
      <c r="G40" s="7"/>
      <c r="H40" s="8">
        <f t="shared" si="31"/>
        <v>0</v>
      </c>
      <c r="I40" s="7"/>
      <c r="J40" s="7"/>
      <c r="K40" s="8">
        <f t="shared" si="32"/>
        <v>0</v>
      </c>
      <c r="L40" s="7"/>
      <c r="M40" s="7"/>
      <c r="N40" s="8">
        <f t="shared" si="33"/>
        <v>0</v>
      </c>
      <c r="O40" s="7"/>
      <c r="P40" s="7"/>
      <c r="Q40" s="8">
        <f t="shared" si="34"/>
        <v>0</v>
      </c>
      <c r="R40" s="7"/>
      <c r="S40" s="7"/>
      <c r="T40" s="8">
        <f t="shared" si="35"/>
        <v>0</v>
      </c>
      <c r="U40" s="7"/>
      <c r="V40" s="7"/>
      <c r="W40" s="8">
        <f t="shared" si="36"/>
        <v>0</v>
      </c>
      <c r="X40" s="7"/>
      <c r="Y40" s="7"/>
      <c r="Z40" s="8">
        <f t="shared" si="37"/>
        <v>0</v>
      </c>
      <c r="AA40" s="7"/>
      <c r="AB40" s="7"/>
      <c r="AC40" s="8">
        <f t="shared" si="38"/>
        <v>0</v>
      </c>
      <c r="AD40" s="7"/>
      <c r="AE40" s="7"/>
      <c r="AF40" s="8">
        <f t="shared" si="39"/>
        <v>0</v>
      </c>
      <c r="AG40" s="7"/>
      <c r="AH40" s="7"/>
      <c r="AI40" s="8">
        <f t="shared" si="40"/>
        <v>0</v>
      </c>
      <c r="AJ40" s="7"/>
      <c r="AK40" s="7"/>
      <c r="AL40" s="8">
        <f t="shared" si="41"/>
        <v>0</v>
      </c>
      <c r="AM40" s="7"/>
      <c r="AN40" s="7"/>
      <c r="AO40" s="8">
        <f t="shared" si="42"/>
        <v>0</v>
      </c>
      <c r="AP40" s="6">
        <f t="shared" si="58"/>
        <v>30</v>
      </c>
      <c r="AQ40" s="6" t="str">
        <f t="shared" si="58"/>
        <v>Auto Mechanics</v>
      </c>
      <c r="AR40" s="7">
        <f t="shared" si="59"/>
        <v>0</v>
      </c>
      <c r="AS40" s="7">
        <f t="shared" si="59"/>
        <v>0</v>
      </c>
      <c r="AT40" s="8">
        <f t="shared" si="44"/>
        <v>0</v>
      </c>
      <c r="AU40" s="9">
        <f t="shared" si="60"/>
        <v>0</v>
      </c>
      <c r="AV40" s="9">
        <f t="shared" si="60"/>
        <v>0</v>
      </c>
      <c r="AW40" s="10">
        <f t="shared" si="60"/>
        <v>0</v>
      </c>
      <c r="AX40" s="7">
        <f t="shared" si="61"/>
        <v>0</v>
      </c>
      <c r="AY40" s="7">
        <f t="shared" si="61"/>
        <v>0</v>
      </c>
      <c r="AZ40" s="8">
        <f t="shared" si="47"/>
        <v>0</v>
      </c>
      <c r="BA40" s="9">
        <f t="shared" si="62"/>
        <v>0</v>
      </c>
      <c r="BB40" s="9">
        <f t="shared" si="62"/>
        <v>0</v>
      </c>
      <c r="BC40" s="10">
        <f t="shared" si="49"/>
        <v>0</v>
      </c>
      <c r="BD40" s="7">
        <f t="shared" si="63"/>
        <v>0</v>
      </c>
      <c r="BE40" s="7">
        <f t="shared" si="63"/>
        <v>0</v>
      </c>
      <c r="BF40" s="8">
        <f t="shared" si="51"/>
        <v>0</v>
      </c>
      <c r="BG40" s="9">
        <f t="shared" si="64"/>
        <v>0</v>
      </c>
      <c r="BH40" s="9">
        <f t="shared" si="64"/>
        <v>0</v>
      </c>
      <c r="BI40" s="10">
        <f t="shared" si="64"/>
        <v>0</v>
      </c>
      <c r="BJ40" s="7">
        <f t="shared" si="65"/>
        <v>0</v>
      </c>
      <c r="BK40" s="7">
        <f t="shared" si="65"/>
        <v>0</v>
      </c>
      <c r="BL40" s="8">
        <f t="shared" si="54"/>
        <v>0</v>
      </c>
      <c r="BM40" s="9">
        <f t="shared" si="55"/>
        <v>0</v>
      </c>
      <c r="BN40" s="9">
        <f t="shared" si="56"/>
        <v>0</v>
      </c>
      <c r="BO40" s="10">
        <f t="shared" si="57"/>
        <v>0</v>
      </c>
    </row>
    <row r="41" spans="1:67" ht="12" customHeight="1">
      <c r="A41" s="6">
        <v>31</v>
      </c>
      <c r="B41" s="19" t="s">
        <v>66</v>
      </c>
      <c r="C41" s="7"/>
      <c r="D41" s="7"/>
      <c r="E41" s="8">
        <f t="shared" si="30"/>
        <v>0</v>
      </c>
      <c r="F41" s="7"/>
      <c r="G41" s="7"/>
      <c r="H41" s="8">
        <f t="shared" si="31"/>
        <v>0</v>
      </c>
      <c r="I41" s="7"/>
      <c r="J41" s="7"/>
      <c r="K41" s="8">
        <f t="shared" si="32"/>
        <v>0</v>
      </c>
      <c r="L41" s="7"/>
      <c r="M41" s="7"/>
      <c r="N41" s="8">
        <f t="shared" si="33"/>
        <v>0</v>
      </c>
      <c r="O41" s="7"/>
      <c r="P41" s="7"/>
      <c r="Q41" s="8">
        <f t="shared" si="34"/>
        <v>0</v>
      </c>
      <c r="R41" s="7"/>
      <c r="S41" s="7"/>
      <c r="T41" s="8">
        <f t="shared" si="35"/>
        <v>0</v>
      </c>
      <c r="U41" s="7"/>
      <c r="V41" s="7"/>
      <c r="W41" s="8">
        <f t="shared" si="36"/>
        <v>0</v>
      </c>
      <c r="X41" s="7"/>
      <c r="Y41" s="7"/>
      <c r="Z41" s="8">
        <f t="shared" si="37"/>
        <v>0</v>
      </c>
      <c r="AA41" s="7"/>
      <c r="AB41" s="7"/>
      <c r="AC41" s="8">
        <f t="shared" si="38"/>
        <v>0</v>
      </c>
      <c r="AD41" s="7"/>
      <c r="AE41" s="7"/>
      <c r="AF41" s="8">
        <f t="shared" si="39"/>
        <v>0</v>
      </c>
      <c r="AG41" s="7"/>
      <c r="AH41" s="7"/>
      <c r="AI41" s="8">
        <f t="shared" si="40"/>
        <v>0</v>
      </c>
      <c r="AJ41" s="7"/>
      <c r="AK41" s="7"/>
      <c r="AL41" s="8">
        <f t="shared" si="41"/>
        <v>0</v>
      </c>
      <c r="AM41" s="7"/>
      <c r="AN41" s="7"/>
      <c r="AO41" s="8">
        <f t="shared" si="42"/>
        <v>0</v>
      </c>
      <c r="AP41" s="6">
        <f t="shared" si="58"/>
        <v>31</v>
      </c>
      <c r="AQ41" s="6" t="str">
        <f t="shared" si="58"/>
        <v>Building Construction</v>
      </c>
      <c r="AR41" s="7">
        <f t="shared" si="59"/>
        <v>0</v>
      </c>
      <c r="AS41" s="7">
        <f t="shared" si="59"/>
        <v>0</v>
      </c>
      <c r="AT41" s="8">
        <f t="shared" si="44"/>
        <v>0</v>
      </c>
      <c r="AU41" s="9">
        <f t="shared" si="60"/>
        <v>0</v>
      </c>
      <c r="AV41" s="9">
        <f t="shared" si="60"/>
        <v>0</v>
      </c>
      <c r="AW41" s="10">
        <f t="shared" si="60"/>
        <v>0</v>
      </c>
      <c r="AX41" s="7">
        <f t="shared" si="61"/>
        <v>0</v>
      </c>
      <c r="AY41" s="7">
        <f t="shared" si="61"/>
        <v>0</v>
      </c>
      <c r="AZ41" s="8">
        <f t="shared" si="47"/>
        <v>0</v>
      </c>
      <c r="BA41" s="9">
        <f t="shared" si="62"/>
        <v>0</v>
      </c>
      <c r="BB41" s="9">
        <f t="shared" si="62"/>
        <v>0</v>
      </c>
      <c r="BC41" s="10">
        <f t="shared" si="49"/>
        <v>0</v>
      </c>
      <c r="BD41" s="7">
        <f t="shared" si="63"/>
        <v>0</v>
      </c>
      <c r="BE41" s="7">
        <f t="shared" si="63"/>
        <v>0</v>
      </c>
      <c r="BF41" s="8">
        <f t="shared" si="51"/>
        <v>0</v>
      </c>
      <c r="BG41" s="9">
        <f t="shared" si="64"/>
        <v>0</v>
      </c>
      <c r="BH41" s="9">
        <f t="shared" si="64"/>
        <v>0</v>
      </c>
      <c r="BI41" s="10">
        <f t="shared" si="64"/>
        <v>0</v>
      </c>
      <c r="BJ41" s="7">
        <f t="shared" si="65"/>
        <v>0</v>
      </c>
      <c r="BK41" s="7">
        <f t="shared" si="65"/>
        <v>0</v>
      </c>
      <c r="BL41" s="8">
        <f t="shared" si="54"/>
        <v>0</v>
      </c>
      <c r="BM41" s="9">
        <f t="shared" si="55"/>
        <v>0</v>
      </c>
      <c r="BN41" s="9">
        <f t="shared" si="56"/>
        <v>0</v>
      </c>
      <c r="BO41" s="10">
        <f t="shared" si="57"/>
        <v>0</v>
      </c>
    </row>
    <row r="42" spans="1:67" ht="12" customHeight="1">
      <c r="A42" s="6">
        <v>32</v>
      </c>
      <c r="B42" s="19" t="s">
        <v>67</v>
      </c>
      <c r="C42" s="7"/>
      <c r="D42" s="7"/>
      <c r="E42" s="8">
        <f t="shared" si="30"/>
        <v>0</v>
      </c>
      <c r="F42" s="7"/>
      <c r="G42" s="7"/>
      <c r="H42" s="8">
        <f t="shared" si="31"/>
        <v>0</v>
      </c>
      <c r="I42" s="7"/>
      <c r="J42" s="7"/>
      <c r="K42" s="8">
        <f t="shared" si="32"/>
        <v>0</v>
      </c>
      <c r="L42" s="7"/>
      <c r="M42" s="7"/>
      <c r="N42" s="8">
        <f t="shared" si="33"/>
        <v>0</v>
      </c>
      <c r="O42" s="7"/>
      <c r="P42" s="7"/>
      <c r="Q42" s="8">
        <f t="shared" si="34"/>
        <v>0</v>
      </c>
      <c r="R42" s="7"/>
      <c r="S42" s="7"/>
      <c r="T42" s="8">
        <f t="shared" si="35"/>
        <v>0</v>
      </c>
      <c r="U42" s="7"/>
      <c r="V42" s="7"/>
      <c r="W42" s="8">
        <f t="shared" si="36"/>
        <v>0</v>
      </c>
      <c r="X42" s="7"/>
      <c r="Y42" s="7"/>
      <c r="Z42" s="8">
        <f t="shared" si="37"/>
        <v>0</v>
      </c>
      <c r="AA42" s="7"/>
      <c r="AB42" s="7"/>
      <c r="AC42" s="8">
        <f t="shared" si="38"/>
        <v>0</v>
      </c>
      <c r="AD42" s="7"/>
      <c r="AE42" s="7"/>
      <c r="AF42" s="8">
        <f t="shared" si="39"/>
        <v>0</v>
      </c>
      <c r="AG42" s="7"/>
      <c r="AH42" s="7"/>
      <c r="AI42" s="8">
        <f t="shared" si="40"/>
        <v>0</v>
      </c>
      <c r="AJ42" s="7"/>
      <c r="AK42" s="7"/>
      <c r="AL42" s="8">
        <f t="shared" si="41"/>
        <v>0</v>
      </c>
      <c r="AM42" s="7"/>
      <c r="AN42" s="7"/>
      <c r="AO42" s="8">
        <f t="shared" si="42"/>
        <v>0</v>
      </c>
      <c r="AP42" s="6">
        <f t="shared" ref="AP42:AQ57" si="66">A42</f>
        <v>32</v>
      </c>
      <c r="AQ42" s="6" t="str">
        <f t="shared" si="66"/>
        <v>Electronics</v>
      </c>
      <c r="AR42" s="7">
        <f t="shared" si="59"/>
        <v>0</v>
      </c>
      <c r="AS42" s="7">
        <f t="shared" si="59"/>
        <v>0</v>
      </c>
      <c r="AT42" s="8">
        <f t="shared" si="44"/>
        <v>0</v>
      </c>
      <c r="AU42" s="9">
        <f t="shared" si="60"/>
        <v>0</v>
      </c>
      <c r="AV42" s="9">
        <f t="shared" si="60"/>
        <v>0</v>
      </c>
      <c r="AW42" s="10">
        <f t="shared" si="60"/>
        <v>0</v>
      </c>
      <c r="AX42" s="7">
        <f t="shared" si="61"/>
        <v>0</v>
      </c>
      <c r="AY42" s="7">
        <f t="shared" si="61"/>
        <v>0</v>
      </c>
      <c r="AZ42" s="8">
        <f t="shared" si="47"/>
        <v>0</v>
      </c>
      <c r="BA42" s="9">
        <f t="shared" si="62"/>
        <v>0</v>
      </c>
      <c r="BB42" s="9">
        <f t="shared" si="62"/>
        <v>0</v>
      </c>
      <c r="BC42" s="10">
        <f t="shared" si="49"/>
        <v>0</v>
      </c>
      <c r="BD42" s="7">
        <f t="shared" si="63"/>
        <v>0</v>
      </c>
      <c r="BE42" s="7">
        <f t="shared" si="63"/>
        <v>0</v>
      </c>
      <c r="BF42" s="8">
        <f t="shared" si="51"/>
        <v>0</v>
      </c>
      <c r="BG42" s="9">
        <f t="shared" si="64"/>
        <v>0</v>
      </c>
      <c r="BH42" s="9">
        <f t="shared" si="64"/>
        <v>0</v>
      </c>
      <c r="BI42" s="10">
        <f t="shared" si="64"/>
        <v>0</v>
      </c>
      <c r="BJ42" s="7">
        <f t="shared" si="65"/>
        <v>0</v>
      </c>
      <c r="BK42" s="7">
        <f t="shared" si="65"/>
        <v>0</v>
      </c>
      <c r="BL42" s="8">
        <f t="shared" si="54"/>
        <v>0</v>
      </c>
      <c r="BM42" s="9">
        <f t="shared" si="55"/>
        <v>0</v>
      </c>
      <c r="BN42" s="9">
        <f t="shared" si="56"/>
        <v>0</v>
      </c>
      <c r="BO42" s="10">
        <f t="shared" si="57"/>
        <v>0</v>
      </c>
    </row>
    <row r="43" spans="1:67" ht="12" customHeight="1">
      <c r="A43" s="6">
        <v>33</v>
      </c>
      <c r="B43" s="19" t="s">
        <v>68</v>
      </c>
      <c r="C43" s="7"/>
      <c r="D43" s="7"/>
      <c r="E43" s="8">
        <f t="shared" si="30"/>
        <v>0</v>
      </c>
      <c r="F43" s="7"/>
      <c r="G43" s="7"/>
      <c r="H43" s="8">
        <f t="shared" si="31"/>
        <v>0</v>
      </c>
      <c r="I43" s="7"/>
      <c r="J43" s="7"/>
      <c r="K43" s="8">
        <f t="shared" si="32"/>
        <v>0</v>
      </c>
      <c r="L43" s="7"/>
      <c r="M43" s="7"/>
      <c r="N43" s="8">
        <f t="shared" si="33"/>
        <v>0</v>
      </c>
      <c r="O43" s="7"/>
      <c r="P43" s="7"/>
      <c r="Q43" s="8">
        <f t="shared" si="34"/>
        <v>0</v>
      </c>
      <c r="R43" s="7"/>
      <c r="S43" s="7"/>
      <c r="T43" s="8">
        <f t="shared" si="35"/>
        <v>0</v>
      </c>
      <c r="U43" s="7"/>
      <c r="V43" s="7"/>
      <c r="W43" s="8">
        <f t="shared" si="36"/>
        <v>0</v>
      </c>
      <c r="X43" s="7"/>
      <c r="Y43" s="7"/>
      <c r="Z43" s="8">
        <f t="shared" si="37"/>
        <v>0</v>
      </c>
      <c r="AA43" s="7"/>
      <c r="AB43" s="7"/>
      <c r="AC43" s="8">
        <f t="shared" si="38"/>
        <v>0</v>
      </c>
      <c r="AD43" s="7"/>
      <c r="AE43" s="7"/>
      <c r="AF43" s="8">
        <f t="shared" si="39"/>
        <v>0</v>
      </c>
      <c r="AG43" s="7"/>
      <c r="AH43" s="7"/>
      <c r="AI43" s="8">
        <f t="shared" si="40"/>
        <v>0</v>
      </c>
      <c r="AJ43" s="7"/>
      <c r="AK43" s="7"/>
      <c r="AL43" s="8">
        <f t="shared" si="41"/>
        <v>0</v>
      </c>
      <c r="AM43" s="7"/>
      <c r="AN43" s="7"/>
      <c r="AO43" s="8">
        <f t="shared" si="42"/>
        <v>0</v>
      </c>
      <c r="AP43" s="6">
        <f t="shared" si="66"/>
        <v>33</v>
      </c>
      <c r="AQ43" s="6" t="str">
        <f t="shared" si="66"/>
        <v>Metal Work</v>
      </c>
      <c r="AR43" s="7">
        <f t="shared" si="59"/>
        <v>0</v>
      </c>
      <c r="AS43" s="7">
        <f t="shared" si="59"/>
        <v>0</v>
      </c>
      <c r="AT43" s="8">
        <f t="shared" si="44"/>
        <v>0</v>
      </c>
      <c r="AU43" s="9">
        <f t="shared" si="60"/>
        <v>0</v>
      </c>
      <c r="AV43" s="9">
        <f t="shared" si="60"/>
        <v>0</v>
      </c>
      <c r="AW43" s="10">
        <f t="shared" si="60"/>
        <v>0</v>
      </c>
      <c r="AX43" s="7">
        <f t="shared" si="61"/>
        <v>0</v>
      </c>
      <c r="AY43" s="7">
        <f t="shared" si="61"/>
        <v>0</v>
      </c>
      <c r="AZ43" s="8">
        <f t="shared" si="47"/>
        <v>0</v>
      </c>
      <c r="BA43" s="9">
        <f t="shared" si="62"/>
        <v>0</v>
      </c>
      <c r="BB43" s="9">
        <f t="shared" si="62"/>
        <v>0</v>
      </c>
      <c r="BC43" s="10">
        <f t="shared" si="49"/>
        <v>0</v>
      </c>
      <c r="BD43" s="7">
        <f t="shared" si="63"/>
        <v>0</v>
      </c>
      <c r="BE43" s="7">
        <f t="shared" si="63"/>
        <v>0</v>
      </c>
      <c r="BF43" s="8">
        <f t="shared" si="51"/>
        <v>0</v>
      </c>
      <c r="BG43" s="9">
        <f t="shared" si="64"/>
        <v>0</v>
      </c>
      <c r="BH43" s="9">
        <f t="shared" si="64"/>
        <v>0</v>
      </c>
      <c r="BI43" s="10">
        <f t="shared" si="64"/>
        <v>0</v>
      </c>
      <c r="BJ43" s="7">
        <f t="shared" si="65"/>
        <v>0</v>
      </c>
      <c r="BK43" s="7">
        <f t="shared" si="65"/>
        <v>0</v>
      </c>
      <c r="BL43" s="8">
        <f t="shared" si="54"/>
        <v>0</v>
      </c>
      <c r="BM43" s="9">
        <f t="shared" si="55"/>
        <v>0</v>
      </c>
      <c r="BN43" s="9">
        <f t="shared" si="56"/>
        <v>0</v>
      </c>
      <c r="BO43" s="10">
        <f t="shared" si="57"/>
        <v>0</v>
      </c>
    </row>
    <row r="44" spans="1:67" ht="12" customHeight="1">
      <c r="A44" s="6">
        <v>34</v>
      </c>
      <c r="B44" s="19" t="s">
        <v>69</v>
      </c>
      <c r="C44" s="7"/>
      <c r="D44" s="7"/>
      <c r="E44" s="8">
        <f t="shared" si="30"/>
        <v>0</v>
      </c>
      <c r="F44" s="7"/>
      <c r="G44" s="7"/>
      <c r="H44" s="8">
        <f t="shared" si="31"/>
        <v>0</v>
      </c>
      <c r="I44" s="7"/>
      <c r="J44" s="7"/>
      <c r="K44" s="8">
        <f t="shared" si="32"/>
        <v>0</v>
      </c>
      <c r="L44" s="7"/>
      <c r="M44" s="7"/>
      <c r="N44" s="8">
        <f t="shared" si="33"/>
        <v>0</v>
      </c>
      <c r="O44" s="7"/>
      <c r="P44" s="7"/>
      <c r="Q44" s="8">
        <f t="shared" si="34"/>
        <v>0</v>
      </c>
      <c r="R44" s="7"/>
      <c r="S44" s="7"/>
      <c r="T44" s="8">
        <f t="shared" si="35"/>
        <v>0</v>
      </c>
      <c r="U44" s="7"/>
      <c r="V44" s="7"/>
      <c r="W44" s="8">
        <f t="shared" si="36"/>
        <v>0</v>
      </c>
      <c r="X44" s="7"/>
      <c r="Y44" s="7"/>
      <c r="Z44" s="8">
        <f t="shared" si="37"/>
        <v>0</v>
      </c>
      <c r="AA44" s="7"/>
      <c r="AB44" s="7"/>
      <c r="AC44" s="8">
        <f t="shared" si="38"/>
        <v>0</v>
      </c>
      <c r="AD44" s="7"/>
      <c r="AE44" s="7"/>
      <c r="AF44" s="8">
        <f t="shared" si="39"/>
        <v>0</v>
      </c>
      <c r="AG44" s="7"/>
      <c r="AH44" s="7"/>
      <c r="AI44" s="8">
        <f t="shared" si="40"/>
        <v>0</v>
      </c>
      <c r="AJ44" s="7"/>
      <c r="AK44" s="7"/>
      <c r="AL44" s="8">
        <f t="shared" si="41"/>
        <v>0</v>
      </c>
      <c r="AM44" s="7"/>
      <c r="AN44" s="7"/>
      <c r="AO44" s="8">
        <f t="shared" si="42"/>
        <v>0</v>
      </c>
      <c r="AP44" s="6">
        <f t="shared" si="66"/>
        <v>34</v>
      </c>
      <c r="AQ44" s="6" t="str">
        <f t="shared" si="66"/>
        <v>Technical Drawing</v>
      </c>
      <c r="AR44" s="7">
        <f t="shared" si="59"/>
        <v>0</v>
      </c>
      <c r="AS44" s="7">
        <f t="shared" si="59"/>
        <v>0</v>
      </c>
      <c r="AT44" s="8">
        <f t="shared" si="44"/>
        <v>0</v>
      </c>
      <c r="AU44" s="9">
        <f t="shared" si="60"/>
        <v>0</v>
      </c>
      <c r="AV44" s="9">
        <f t="shared" si="60"/>
        <v>0</v>
      </c>
      <c r="AW44" s="10">
        <f t="shared" si="60"/>
        <v>0</v>
      </c>
      <c r="AX44" s="7">
        <f t="shared" si="61"/>
        <v>0</v>
      </c>
      <c r="AY44" s="7">
        <f t="shared" si="61"/>
        <v>0</v>
      </c>
      <c r="AZ44" s="8">
        <f t="shared" si="47"/>
        <v>0</v>
      </c>
      <c r="BA44" s="9">
        <f t="shared" si="62"/>
        <v>0</v>
      </c>
      <c r="BB44" s="9">
        <f t="shared" si="62"/>
        <v>0</v>
      </c>
      <c r="BC44" s="10">
        <f t="shared" si="49"/>
        <v>0</v>
      </c>
      <c r="BD44" s="7">
        <f t="shared" si="63"/>
        <v>0</v>
      </c>
      <c r="BE44" s="7">
        <f t="shared" si="63"/>
        <v>0</v>
      </c>
      <c r="BF44" s="8">
        <f t="shared" si="51"/>
        <v>0</v>
      </c>
      <c r="BG44" s="9">
        <f t="shared" si="64"/>
        <v>0</v>
      </c>
      <c r="BH44" s="9">
        <f t="shared" si="64"/>
        <v>0</v>
      </c>
      <c r="BI44" s="10">
        <f t="shared" si="64"/>
        <v>0</v>
      </c>
      <c r="BJ44" s="7">
        <f t="shared" si="65"/>
        <v>0</v>
      </c>
      <c r="BK44" s="7">
        <f t="shared" si="65"/>
        <v>0</v>
      </c>
      <c r="BL44" s="8">
        <f t="shared" si="54"/>
        <v>0</v>
      </c>
      <c r="BM44" s="9">
        <f t="shared" si="55"/>
        <v>0</v>
      </c>
      <c r="BN44" s="9">
        <f t="shared" si="56"/>
        <v>0</v>
      </c>
      <c r="BO44" s="10">
        <f t="shared" si="57"/>
        <v>0</v>
      </c>
    </row>
    <row r="45" spans="1:67" ht="12" customHeight="1">
      <c r="A45" s="6">
        <v>35</v>
      </c>
      <c r="B45" s="19" t="s">
        <v>70</v>
      </c>
      <c r="C45" s="7"/>
      <c r="D45" s="7"/>
      <c r="E45" s="8">
        <f t="shared" si="30"/>
        <v>0</v>
      </c>
      <c r="F45" s="7"/>
      <c r="G45" s="7"/>
      <c r="H45" s="8">
        <f t="shared" si="31"/>
        <v>0</v>
      </c>
      <c r="I45" s="7"/>
      <c r="J45" s="7"/>
      <c r="K45" s="8">
        <f t="shared" si="32"/>
        <v>0</v>
      </c>
      <c r="L45" s="7"/>
      <c r="M45" s="7"/>
      <c r="N45" s="8">
        <f t="shared" si="33"/>
        <v>0</v>
      </c>
      <c r="O45" s="7"/>
      <c r="P45" s="7"/>
      <c r="Q45" s="8">
        <f t="shared" si="34"/>
        <v>0</v>
      </c>
      <c r="R45" s="7"/>
      <c r="S45" s="7"/>
      <c r="T45" s="8">
        <f t="shared" si="35"/>
        <v>0</v>
      </c>
      <c r="U45" s="7"/>
      <c r="V45" s="7"/>
      <c r="W45" s="8">
        <f t="shared" si="36"/>
        <v>0</v>
      </c>
      <c r="X45" s="7"/>
      <c r="Y45" s="7"/>
      <c r="Z45" s="8">
        <f t="shared" si="37"/>
        <v>0</v>
      </c>
      <c r="AA45" s="7"/>
      <c r="AB45" s="7"/>
      <c r="AC45" s="8">
        <f t="shared" si="38"/>
        <v>0</v>
      </c>
      <c r="AD45" s="7"/>
      <c r="AE45" s="7"/>
      <c r="AF45" s="8">
        <f t="shared" si="39"/>
        <v>0</v>
      </c>
      <c r="AG45" s="7"/>
      <c r="AH45" s="7"/>
      <c r="AI45" s="8">
        <f t="shared" si="40"/>
        <v>0</v>
      </c>
      <c r="AJ45" s="7"/>
      <c r="AK45" s="7"/>
      <c r="AL45" s="8">
        <f t="shared" si="41"/>
        <v>0</v>
      </c>
      <c r="AM45" s="7"/>
      <c r="AN45" s="7"/>
      <c r="AO45" s="8">
        <f t="shared" si="42"/>
        <v>0</v>
      </c>
      <c r="AP45" s="6">
        <f t="shared" si="66"/>
        <v>35</v>
      </c>
      <c r="AQ45" s="6" t="str">
        <f t="shared" si="66"/>
        <v>Wood Work</v>
      </c>
      <c r="AR45" s="7">
        <f t="shared" si="59"/>
        <v>0</v>
      </c>
      <c r="AS45" s="7">
        <f t="shared" si="59"/>
        <v>0</v>
      </c>
      <c r="AT45" s="8">
        <f t="shared" si="44"/>
        <v>0</v>
      </c>
      <c r="AU45" s="9">
        <f t="shared" si="60"/>
        <v>0</v>
      </c>
      <c r="AV45" s="9">
        <f t="shared" si="60"/>
        <v>0</v>
      </c>
      <c r="AW45" s="10">
        <f t="shared" si="60"/>
        <v>0</v>
      </c>
      <c r="AX45" s="7">
        <f t="shared" si="61"/>
        <v>0</v>
      </c>
      <c r="AY45" s="7">
        <f t="shared" si="61"/>
        <v>0</v>
      </c>
      <c r="AZ45" s="8">
        <f t="shared" si="47"/>
        <v>0</v>
      </c>
      <c r="BA45" s="9">
        <f t="shared" si="62"/>
        <v>0</v>
      </c>
      <c r="BB45" s="9">
        <f t="shared" si="62"/>
        <v>0</v>
      </c>
      <c r="BC45" s="10">
        <f t="shared" si="49"/>
        <v>0</v>
      </c>
      <c r="BD45" s="7">
        <f t="shared" si="63"/>
        <v>0</v>
      </c>
      <c r="BE45" s="7">
        <f t="shared" si="63"/>
        <v>0</v>
      </c>
      <c r="BF45" s="8">
        <f t="shared" si="51"/>
        <v>0</v>
      </c>
      <c r="BG45" s="9">
        <f t="shared" si="64"/>
        <v>0</v>
      </c>
      <c r="BH45" s="9">
        <f t="shared" si="64"/>
        <v>0</v>
      </c>
      <c r="BI45" s="10">
        <f t="shared" si="64"/>
        <v>0</v>
      </c>
      <c r="BJ45" s="7">
        <f t="shared" si="65"/>
        <v>0</v>
      </c>
      <c r="BK45" s="7">
        <f t="shared" si="65"/>
        <v>0</v>
      </c>
      <c r="BL45" s="8">
        <f t="shared" si="54"/>
        <v>0</v>
      </c>
      <c r="BM45" s="9">
        <f t="shared" si="55"/>
        <v>0</v>
      </c>
      <c r="BN45" s="9">
        <f t="shared" si="56"/>
        <v>0</v>
      </c>
      <c r="BO45" s="10">
        <f t="shared" si="57"/>
        <v>0</v>
      </c>
    </row>
    <row r="46" spans="1:67" ht="12" customHeight="1">
      <c r="A46" s="6">
        <v>36</v>
      </c>
      <c r="B46" s="19" t="s">
        <v>71</v>
      </c>
      <c r="C46" s="7">
        <v>1</v>
      </c>
      <c r="D46" s="7">
        <v>33</v>
      </c>
      <c r="E46" s="8">
        <f t="shared" si="30"/>
        <v>34</v>
      </c>
      <c r="F46" s="7">
        <v>1</v>
      </c>
      <c r="G46" s="7">
        <v>33</v>
      </c>
      <c r="H46" s="8">
        <f t="shared" si="31"/>
        <v>34</v>
      </c>
      <c r="I46" s="7">
        <v>0</v>
      </c>
      <c r="J46" s="7">
        <v>0</v>
      </c>
      <c r="K46" s="8">
        <f t="shared" si="32"/>
        <v>0</v>
      </c>
      <c r="L46" s="7">
        <v>0</v>
      </c>
      <c r="M46" s="7">
        <v>0</v>
      </c>
      <c r="N46" s="8">
        <f t="shared" si="33"/>
        <v>0</v>
      </c>
      <c r="O46" s="7">
        <v>0</v>
      </c>
      <c r="P46" s="7">
        <v>0</v>
      </c>
      <c r="Q46" s="8">
        <f t="shared" si="34"/>
        <v>0</v>
      </c>
      <c r="R46" s="7">
        <v>0</v>
      </c>
      <c r="S46" s="7">
        <v>0</v>
      </c>
      <c r="T46" s="8">
        <f t="shared" si="35"/>
        <v>0</v>
      </c>
      <c r="U46" s="7">
        <v>0</v>
      </c>
      <c r="V46" s="7">
        <v>1</v>
      </c>
      <c r="W46" s="8">
        <f t="shared" si="36"/>
        <v>1</v>
      </c>
      <c r="X46" s="7">
        <v>0</v>
      </c>
      <c r="Y46" s="7">
        <v>1</v>
      </c>
      <c r="Z46" s="8">
        <f t="shared" si="37"/>
        <v>1</v>
      </c>
      <c r="AA46" s="7">
        <v>0</v>
      </c>
      <c r="AB46" s="7">
        <v>0</v>
      </c>
      <c r="AC46" s="8">
        <f t="shared" si="38"/>
        <v>0</v>
      </c>
      <c r="AD46" s="7">
        <v>0</v>
      </c>
      <c r="AE46" s="7">
        <v>3</v>
      </c>
      <c r="AF46" s="8">
        <f t="shared" si="39"/>
        <v>3</v>
      </c>
      <c r="AG46" s="7">
        <v>1</v>
      </c>
      <c r="AH46" s="7">
        <v>6</v>
      </c>
      <c r="AI46" s="8">
        <f t="shared" si="40"/>
        <v>7</v>
      </c>
      <c r="AJ46" s="7">
        <v>0</v>
      </c>
      <c r="AK46" s="7">
        <v>11</v>
      </c>
      <c r="AL46" s="8">
        <f t="shared" si="41"/>
        <v>11</v>
      </c>
      <c r="AM46" s="7">
        <v>0</v>
      </c>
      <c r="AN46" s="7">
        <v>11</v>
      </c>
      <c r="AO46" s="8">
        <f t="shared" si="42"/>
        <v>11</v>
      </c>
      <c r="AP46" s="6">
        <f t="shared" si="66"/>
        <v>36</v>
      </c>
      <c r="AQ46" s="6" t="str">
        <f t="shared" si="66"/>
        <v>Management in Living</v>
      </c>
      <c r="AR46" s="7">
        <f t="shared" si="59"/>
        <v>1</v>
      </c>
      <c r="AS46" s="7">
        <f t="shared" si="59"/>
        <v>11</v>
      </c>
      <c r="AT46" s="8">
        <f t="shared" si="44"/>
        <v>12</v>
      </c>
      <c r="AU46" s="9">
        <f t="shared" si="60"/>
        <v>1</v>
      </c>
      <c r="AV46" s="9">
        <f t="shared" si="60"/>
        <v>0.33333333333333331</v>
      </c>
      <c r="AW46" s="10">
        <f t="shared" si="60"/>
        <v>0.35294117647058826</v>
      </c>
      <c r="AX46" s="7">
        <f t="shared" si="61"/>
        <v>0</v>
      </c>
      <c r="AY46" s="7">
        <f t="shared" si="61"/>
        <v>22</v>
      </c>
      <c r="AZ46" s="8">
        <f t="shared" si="47"/>
        <v>22</v>
      </c>
      <c r="BA46" s="9">
        <f t="shared" si="62"/>
        <v>0</v>
      </c>
      <c r="BB46" s="9">
        <f t="shared" si="62"/>
        <v>0.66666666666666663</v>
      </c>
      <c r="BC46" s="10">
        <f t="shared" si="49"/>
        <v>0.6470588235294118</v>
      </c>
      <c r="BD46" s="7">
        <f t="shared" si="63"/>
        <v>0</v>
      </c>
      <c r="BE46" s="7">
        <f t="shared" si="63"/>
        <v>0</v>
      </c>
      <c r="BF46" s="8">
        <f t="shared" si="51"/>
        <v>0</v>
      </c>
      <c r="BG46" s="9">
        <f t="shared" si="64"/>
        <v>0</v>
      </c>
      <c r="BH46" s="9">
        <f t="shared" si="64"/>
        <v>0</v>
      </c>
      <c r="BI46" s="10">
        <f t="shared" si="64"/>
        <v>0</v>
      </c>
      <c r="BJ46" s="7">
        <f t="shared" si="65"/>
        <v>0</v>
      </c>
      <c r="BK46" s="7">
        <f t="shared" si="65"/>
        <v>0</v>
      </c>
      <c r="BL46" s="8">
        <f t="shared" si="54"/>
        <v>0</v>
      </c>
      <c r="BM46" s="9">
        <f t="shared" si="55"/>
        <v>0</v>
      </c>
      <c r="BN46" s="9">
        <f t="shared" si="56"/>
        <v>0</v>
      </c>
      <c r="BO46" s="10">
        <f t="shared" si="57"/>
        <v>0</v>
      </c>
    </row>
    <row r="47" spans="1:67" ht="12" customHeight="1">
      <c r="A47" s="6">
        <v>37</v>
      </c>
      <c r="B47" s="19" t="s">
        <v>72</v>
      </c>
      <c r="C47" s="7">
        <v>1</v>
      </c>
      <c r="D47" s="7">
        <v>33</v>
      </c>
      <c r="E47" s="8">
        <f t="shared" si="30"/>
        <v>34</v>
      </c>
      <c r="F47" s="7">
        <v>1</v>
      </c>
      <c r="G47" s="7">
        <v>33</v>
      </c>
      <c r="H47" s="8">
        <f t="shared" si="31"/>
        <v>34</v>
      </c>
      <c r="I47" s="7">
        <v>0</v>
      </c>
      <c r="J47" s="7">
        <v>0</v>
      </c>
      <c r="K47" s="8">
        <f t="shared" si="32"/>
        <v>0</v>
      </c>
      <c r="L47" s="7">
        <v>0</v>
      </c>
      <c r="M47" s="7">
        <v>0</v>
      </c>
      <c r="N47" s="8">
        <f t="shared" si="33"/>
        <v>0</v>
      </c>
      <c r="O47" s="7">
        <v>0</v>
      </c>
      <c r="P47" s="7">
        <v>0</v>
      </c>
      <c r="Q47" s="8">
        <f t="shared" si="34"/>
        <v>0</v>
      </c>
      <c r="R47" s="7">
        <v>0</v>
      </c>
      <c r="S47" s="7">
        <v>0</v>
      </c>
      <c r="T47" s="8">
        <f t="shared" si="35"/>
        <v>0</v>
      </c>
      <c r="U47" s="7">
        <v>0</v>
      </c>
      <c r="V47" s="7">
        <v>1</v>
      </c>
      <c r="W47" s="8">
        <f t="shared" si="36"/>
        <v>1</v>
      </c>
      <c r="X47" s="7">
        <v>0</v>
      </c>
      <c r="Y47" s="7">
        <v>1</v>
      </c>
      <c r="Z47" s="8">
        <f t="shared" si="37"/>
        <v>1</v>
      </c>
      <c r="AA47" s="7">
        <v>0</v>
      </c>
      <c r="AB47" s="7">
        <v>6</v>
      </c>
      <c r="AC47" s="8">
        <f t="shared" si="38"/>
        <v>6</v>
      </c>
      <c r="AD47" s="7">
        <v>0</v>
      </c>
      <c r="AE47" s="7">
        <v>7</v>
      </c>
      <c r="AF47" s="8">
        <f t="shared" si="39"/>
        <v>7</v>
      </c>
      <c r="AG47" s="7">
        <v>1</v>
      </c>
      <c r="AH47" s="7">
        <v>8</v>
      </c>
      <c r="AI47" s="8">
        <f t="shared" si="40"/>
        <v>9</v>
      </c>
      <c r="AJ47" s="7">
        <v>0</v>
      </c>
      <c r="AK47" s="7">
        <v>5</v>
      </c>
      <c r="AL47" s="8">
        <f t="shared" si="41"/>
        <v>5</v>
      </c>
      <c r="AM47" s="7">
        <v>0</v>
      </c>
      <c r="AN47" s="7">
        <v>5</v>
      </c>
      <c r="AO47" s="8">
        <f t="shared" si="42"/>
        <v>5</v>
      </c>
      <c r="AP47" s="6">
        <f t="shared" si="66"/>
        <v>37</v>
      </c>
      <c r="AQ47" s="6" t="str">
        <f t="shared" si="66"/>
        <v>Food and Nutrition</v>
      </c>
      <c r="AR47" s="7">
        <f t="shared" si="59"/>
        <v>1</v>
      </c>
      <c r="AS47" s="7">
        <f t="shared" si="59"/>
        <v>23</v>
      </c>
      <c r="AT47" s="8">
        <f t="shared" si="44"/>
        <v>24</v>
      </c>
      <c r="AU47" s="9">
        <f t="shared" si="60"/>
        <v>1</v>
      </c>
      <c r="AV47" s="9">
        <f t="shared" si="60"/>
        <v>0.69696969696969702</v>
      </c>
      <c r="AW47" s="10">
        <f t="shared" si="60"/>
        <v>0.70588235294117652</v>
      </c>
      <c r="AX47" s="7">
        <f t="shared" si="61"/>
        <v>0</v>
      </c>
      <c r="AY47" s="7">
        <f t="shared" si="61"/>
        <v>10</v>
      </c>
      <c r="AZ47" s="8">
        <f t="shared" si="47"/>
        <v>10</v>
      </c>
      <c r="BA47" s="9">
        <f t="shared" si="62"/>
        <v>0</v>
      </c>
      <c r="BB47" s="9">
        <f t="shared" si="62"/>
        <v>0.30303030303030304</v>
      </c>
      <c r="BC47" s="10">
        <f t="shared" si="49"/>
        <v>0.29411764705882354</v>
      </c>
      <c r="BD47" s="7">
        <f t="shared" si="63"/>
        <v>0</v>
      </c>
      <c r="BE47" s="7">
        <f t="shared" si="63"/>
        <v>0</v>
      </c>
      <c r="BF47" s="8">
        <f t="shared" si="51"/>
        <v>0</v>
      </c>
      <c r="BG47" s="9">
        <f t="shared" si="64"/>
        <v>0</v>
      </c>
      <c r="BH47" s="9">
        <f t="shared" si="64"/>
        <v>0</v>
      </c>
      <c r="BI47" s="10">
        <f t="shared" si="64"/>
        <v>0</v>
      </c>
      <c r="BJ47" s="7">
        <f t="shared" si="65"/>
        <v>0</v>
      </c>
      <c r="BK47" s="7">
        <f t="shared" si="65"/>
        <v>0</v>
      </c>
      <c r="BL47" s="8">
        <f t="shared" si="54"/>
        <v>0</v>
      </c>
      <c r="BM47" s="9">
        <f t="shared" si="55"/>
        <v>0</v>
      </c>
      <c r="BN47" s="9">
        <f t="shared" si="56"/>
        <v>0</v>
      </c>
      <c r="BO47" s="10">
        <f t="shared" si="57"/>
        <v>0</v>
      </c>
    </row>
    <row r="48" spans="1:67" ht="12" customHeight="1">
      <c r="A48" s="6">
        <v>38</v>
      </c>
      <c r="B48" s="19" t="s">
        <v>73</v>
      </c>
      <c r="C48" s="7"/>
      <c r="D48" s="7"/>
      <c r="E48" s="8">
        <f t="shared" si="30"/>
        <v>0</v>
      </c>
      <c r="F48" s="7"/>
      <c r="G48" s="7"/>
      <c r="H48" s="8">
        <f t="shared" si="31"/>
        <v>0</v>
      </c>
      <c r="I48" s="7"/>
      <c r="J48" s="7"/>
      <c r="K48" s="8">
        <f t="shared" si="32"/>
        <v>0</v>
      </c>
      <c r="L48" s="7"/>
      <c r="M48" s="7"/>
      <c r="N48" s="8">
        <f t="shared" si="33"/>
        <v>0</v>
      </c>
      <c r="O48" s="7"/>
      <c r="P48" s="7"/>
      <c r="Q48" s="8">
        <f t="shared" si="34"/>
        <v>0</v>
      </c>
      <c r="R48" s="7"/>
      <c r="S48" s="7"/>
      <c r="T48" s="8">
        <f t="shared" si="35"/>
        <v>0</v>
      </c>
      <c r="U48" s="7"/>
      <c r="V48" s="7"/>
      <c r="W48" s="8">
        <f t="shared" si="36"/>
        <v>0</v>
      </c>
      <c r="X48" s="7"/>
      <c r="Y48" s="7"/>
      <c r="Z48" s="8">
        <f t="shared" si="37"/>
        <v>0</v>
      </c>
      <c r="AA48" s="7"/>
      <c r="AB48" s="7"/>
      <c r="AC48" s="8">
        <f t="shared" si="38"/>
        <v>0</v>
      </c>
      <c r="AD48" s="7"/>
      <c r="AE48" s="7"/>
      <c r="AF48" s="8">
        <f t="shared" si="39"/>
        <v>0</v>
      </c>
      <c r="AG48" s="7"/>
      <c r="AH48" s="7"/>
      <c r="AI48" s="8">
        <f t="shared" si="40"/>
        <v>0</v>
      </c>
      <c r="AJ48" s="7"/>
      <c r="AK48" s="7"/>
      <c r="AL48" s="8">
        <f t="shared" si="41"/>
        <v>0</v>
      </c>
      <c r="AM48" s="7"/>
      <c r="AN48" s="7"/>
      <c r="AO48" s="8">
        <f t="shared" si="42"/>
        <v>0</v>
      </c>
      <c r="AP48" s="6">
        <f t="shared" si="66"/>
        <v>38</v>
      </c>
      <c r="AQ48" s="6" t="str">
        <f t="shared" si="66"/>
        <v>Clothing and Textiles</v>
      </c>
      <c r="AR48" s="7">
        <f t="shared" ref="AR48:AS48" si="67">SUM(O48,R48,U48,X48,AA48,AD48,AG48)</f>
        <v>0</v>
      </c>
      <c r="AS48" s="7">
        <f t="shared" si="67"/>
        <v>0</v>
      </c>
      <c r="AT48" s="8">
        <f t="shared" si="44"/>
        <v>0</v>
      </c>
      <c r="AU48" s="9">
        <f t="shared" ref="AU48:AW48" si="68">IF(F48=0,0,IF(F48&gt;0,AR48/F48))</f>
        <v>0</v>
      </c>
      <c r="AV48" s="9">
        <f t="shared" si="68"/>
        <v>0</v>
      </c>
      <c r="AW48" s="10">
        <f t="shared" si="68"/>
        <v>0</v>
      </c>
      <c r="AX48" s="7">
        <f t="shared" ref="AX48:AY48" si="69">SUM(AJ48,AM48)</f>
        <v>0</v>
      </c>
      <c r="AY48" s="7">
        <f t="shared" si="69"/>
        <v>0</v>
      </c>
      <c r="AZ48" s="8">
        <f t="shared" si="47"/>
        <v>0</v>
      </c>
      <c r="BA48" s="9">
        <f t="shared" ref="BA48:BB48" si="70">IF(AJ48=0,0,IF(AJ48+AM48&gt;0,(AJ48+AM48)/F48))</f>
        <v>0</v>
      </c>
      <c r="BB48" s="9">
        <f t="shared" si="70"/>
        <v>0</v>
      </c>
      <c r="BC48" s="10">
        <f t="shared" si="49"/>
        <v>0</v>
      </c>
      <c r="BD48" s="7">
        <f t="shared" ref="BD48:BE48" si="71">C48-F48</f>
        <v>0</v>
      </c>
      <c r="BE48" s="7">
        <f t="shared" si="71"/>
        <v>0</v>
      </c>
      <c r="BF48" s="8">
        <f t="shared" si="51"/>
        <v>0</v>
      </c>
      <c r="BG48" s="9">
        <f t="shared" ref="BG48:BI48" si="72">IF(C48=0,0,IF(C48&gt;0,(C48-F48)/C48))</f>
        <v>0</v>
      </c>
      <c r="BH48" s="9">
        <f t="shared" si="72"/>
        <v>0</v>
      </c>
      <c r="BI48" s="10">
        <f t="shared" si="72"/>
        <v>0</v>
      </c>
      <c r="BJ48" s="7">
        <f t="shared" ref="BJ48:BK48" si="73">L48</f>
        <v>0</v>
      </c>
      <c r="BK48" s="7">
        <f t="shared" si="73"/>
        <v>0</v>
      </c>
      <c r="BL48" s="8">
        <f t="shared" si="54"/>
        <v>0</v>
      </c>
      <c r="BM48" s="9">
        <f t="shared" si="55"/>
        <v>0</v>
      </c>
      <c r="BN48" s="9">
        <f t="shared" si="56"/>
        <v>0</v>
      </c>
      <c r="BO48" s="10">
        <f t="shared" si="57"/>
        <v>0</v>
      </c>
    </row>
    <row r="49" spans="1:67" ht="12" customHeight="1">
      <c r="A49" s="6">
        <v>39</v>
      </c>
      <c r="B49" s="19" t="s">
        <v>74</v>
      </c>
      <c r="C49" s="7"/>
      <c r="D49" s="7"/>
      <c r="E49" s="8">
        <f t="shared" si="30"/>
        <v>0</v>
      </c>
      <c r="F49" s="7"/>
      <c r="G49" s="7"/>
      <c r="H49" s="8">
        <f t="shared" si="31"/>
        <v>0</v>
      </c>
      <c r="I49" s="7"/>
      <c r="J49" s="7"/>
      <c r="K49" s="8">
        <f t="shared" si="32"/>
        <v>0</v>
      </c>
      <c r="L49" s="7"/>
      <c r="M49" s="7"/>
      <c r="N49" s="8">
        <f t="shared" si="33"/>
        <v>0</v>
      </c>
      <c r="O49" s="7"/>
      <c r="P49" s="7"/>
      <c r="Q49" s="8">
        <f t="shared" si="34"/>
        <v>0</v>
      </c>
      <c r="R49" s="7"/>
      <c r="S49" s="7"/>
      <c r="T49" s="8">
        <f t="shared" si="35"/>
        <v>0</v>
      </c>
      <c r="U49" s="7"/>
      <c r="V49" s="7"/>
      <c r="W49" s="8">
        <f t="shared" si="36"/>
        <v>0</v>
      </c>
      <c r="X49" s="7"/>
      <c r="Y49" s="7"/>
      <c r="Z49" s="8">
        <f t="shared" si="37"/>
        <v>0</v>
      </c>
      <c r="AA49" s="7"/>
      <c r="AB49" s="7"/>
      <c r="AC49" s="8">
        <f t="shared" si="38"/>
        <v>0</v>
      </c>
      <c r="AD49" s="7"/>
      <c r="AE49" s="7"/>
      <c r="AF49" s="8">
        <f t="shared" si="39"/>
        <v>0</v>
      </c>
      <c r="AG49" s="7"/>
      <c r="AH49" s="7"/>
      <c r="AI49" s="8">
        <f t="shared" si="40"/>
        <v>0</v>
      </c>
      <c r="AJ49" s="7"/>
      <c r="AK49" s="7"/>
      <c r="AL49" s="8">
        <f t="shared" si="41"/>
        <v>0</v>
      </c>
      <c r="AM49" s="7"/>
      <c r="AN49" s="7"/>
      <c r="AO49" s="8">
        <f t="shared" si="42"/>
        <v>0</v>
      </c>
      <c r="AP49" s="6">
        <f t="shared" si="66"/>
        <v>39</v>
      </c>
      <c r="AQ49" s="6" t="str">
        <f t="shared" si="66"/>
        <v>Textiles</v>
      </c>
      <c r="AR49" s="7"/>
      <c r="AS49" s="7"/>
      <c r="AT49" s="8"/>
      <c r="AU49" s="9"/>
      <c r="AV49" s="9"/>
      <c r="AW49" s="10"/>
      <c r="AX49" s="7"/>
      <c r="AY49" s="7"/>
      <c r="AZ49" s="8"/>
      <c r="BA49" s="9"/>
      <c r="BB49" s="9"/>
      <c r="BC49" s="10"/>
      <c r="BD49" s="7"/>
      <c r="BE49" s="7"/>
      <c r="BF49" s="8"/>
      <c r="BG49" s="9"/>
      <c r="BH49" s="9"/>
      <c r="BI49" s="10"/>
      <c r="BJ49" s="7"/>
      <c r="BK49" s="7"/>
      <c r="BL49" s="8"/>
      <c r="BM49" s="9"/>
      <c r="BN49" s="9"/>
      <c r="BO49" s="10"/>
    </row>
    <row r="50" spans="1:67" ht="12" customHeight="1">
      <c r="A50" s="6">
        <v>40</v>
      </c>
      <c r="B50" s="19" t="s">
        <v>75</v>
      </c>
      <c r="C50" s="7"/>
      <c r="D50" s="7"/>
      <c r="E50" s="8">
        <f t="shared" si="30"/>
        <v>0</v>
      </c>
      <c r="F50" s="7"/>
      <c r="G50" s="7"/>
      <c r="H50" s="8">
        <f t="shared" si="31"/>
        <v>0</v>
      </c>
      <c r="I50" s="7"/>
      <c r="J50" s="7"/>
      <c r="K50" s="8">
        <f t="shared" si="32"/>
        <v>0</v>
      </c>
      <c r="L50" s="7"/>
      <c r="M50" s="7"/>
      <c r="N50" s="8">
        <f t="shared" si="33"/>
        <v>0</v>
      </c>
      <c r="O50" s="7"/>
      <c r="P50" s="7"/>
      <c r="Q50" s="8">
        <f t="shared" si="34"/>
        <v>0</v>
      </c>
      <c r="R50" s="7"/>
      <c r="S50" s="7"/>
      <c r="T50" s="8">
        <f t="shared" si="35"/>
        <v>0</v>
      </c>
      <c r="U50" s="7"/>
      <c r="V50" s="7"/>
      <c r="W50" s="8">
        <f t="shared" si="36"/>
        <v>0</v>
      </c>
      <c r="X50" s="7"/>
      <c r="Y50" s="7"/>
      <c r="Z50" s="8">
        <f t="shared" si="37"/>
        <v>0</v>
      </c>
      <c r="AA50" s="7"/>
      <c r="AB50" s="7"/>
      <c r="AC50" s="8">
        <f t="shared" si="38"/>
        <v>0</v>
      </c>
      <c r="AD50" s="7"/>
      <c r="AE50" s="7"/>
      <c r="AF50" s="8">
        <f t="shared" si="39"/>
        <v>0</v>
      </c>
      <c r="AG50" s="7"/>
      <c r="AH50" s="7"/>
      <c r="AI50" s="8">
        <f t="shared" si="40"/>
        <v>0</v>
      </c>
      <c r="AJ50" s="7"/>
      <c r="AK50" s="7"/>
      <c r="AL50" s="8">
        <f t="shared" si="41"/>
        <v>0</v>
      </c>
      <c r="AM50" s="7"/>
      <c r="AN50" s="7"/>
      <c r="AO50" s="8">
        <f t="shared" si="42"/>
        <v>0</v>
      </c>
      <c r="AP50" s="6">
        <f t="shared" si="66"/>
        <v>40</v>
      </c>
      <c r="AQ50" s="6" t="str">
        <f t="shared" si="66"/>
        <v>Graphic Design</v>
      </c>
      <c r="AR50" s="7">
        <f t="shared" ref="AR50:AS55" si="74">SUM(O50,R50,U50,X50,AA50,AD50,AG50)</f>
        <v>0</v>
      </c>
      <c r="AS50" s="7">
        <f t="shared" si="74"/>
        <v>0</v>
      </c>
      <c r="AT50" s="8">
        <f t="shared" ref="AT50:AT55" si="75">SUM(AR50:AS50)</f>
        <v>0</v>
      </c>
      <c r="AU50" s="9">
        <f t="shared" ref="AU50:AW55" si="76">IF(F50=0,0,IF(F50&gt;0,AR50/F50))</f>
        <v>0</v>
      </c>
      <c r="AV50" s="9">
        <f t="shared" si="76"/>
        <v>0</v>
      </c>
      <c r="AW50" s="10">
        <f t="shared" si="76"/>
        <v>0</v>
      </c>
      <c r="AX50" s="7">
        <f t="shared" ref="AX50:AY55" si="77">SUM(AJ50,AM50)</f>
        <v>0</v>
      </c>
      <c r="AY50" s="7">
        <f t="shared" si="77"/>
        <v>0</v>
      </c>
      <c r="AZ50" s="8">
        <f t="shared" ref="AZ50:AZ55" si="78">SUM(AX50:AY50)</f>
        <v>0</v>
      </c>
      <c r="BA50" s="9">
        <f t="shared" ref="BA50:BB55" si="79">IF(AJ50=0,0,IF(AJ50+AM50&gt;0,(AJ50+AM50)/F50))</f>
        <v>0</v>
      </c>
      <c r="BB50" s="9">
        <f t="shared" si="79"/>
        <v>0</v>
      </c>
      <c r="BC50" s="10">
        <f t="shared" ref="BC50:BC55" si="80">IF(H50=0,0,IF(H50&gt;0,AZ50/H50))</f>
        <v>0</v>
      </c>
      <c r="BD50" s="7">
        <f t="shared" ref="BD50:BE55" si="81">C50-F50</f>
        <v>0</v>
      </c>
      <c r="BE50" s="7">
        <f t="shared" si="81"/>
        <v>0</v>
      </c>
      <c r="BF50" s="8">
        <f t="shared" ref="BF50:BF55" si="82">SUM(BD50:BE50)</f>
        <v>0</v>
      </c>
      <c r="BG50" s="9">
        <f t="shared" ref="BG50:BI55" si="83">IF(C50=0,0,IF(C50&gt;0,(C50-F50)/C50))</f>
        <v>0</v>
      </c>
      <c r="BH50" s="9">
        <f t="shared" si="83"/>
        <v>0</v>
      </c>
      <c r="BI50" s="10">
        <f t="shared" si="83"/>
        <v>0</v>
      </c>
      <c r="BJ50" s="7">
        <f t="shared" ref="BJ50:BK55" si="84">L50</f>
        <v>0</v>
      </c>
      <c r="BK50" s="7">
        <f t="shared" si="84"/>
        <v>0</v>
      </c>
      <c r="BL50" s="8">
        <f t="shared" ref="BL50:BL55" si="85">SUM(BJ50:BK50)</f>
        <v>0</v>
      </c>
      <c r="BM50" s="9">
        <f t="shared" ref="BM50:BM55" si="86">IF(OR(BJ50=0,BK50=0),0,IF(OR(BJ50&gt;0,BK50&gt;0),BJ50/F50))</f>
        <v>0</v>
      </c>
      <c r="BN50" s="9">
        <f t="shared" ref="BN50:BN55" si="87">IF(OR(BJ50=0,BK50=0),0,IF(OR(BJ50&gt;0,BK50&gt;0),BJ50/G50))</f>
        <v>0</v>
      </c>
      <c r="BO50" s="10">
        <f t="shared" ref="BO50:BO55" si="88">IF(BL50=0,0,BL50/H50)</f>
        <v>0</v>
      </c>
    </row>
    <row r="51" spans="1:67" ht="12" customHeight="1">
      <c r="A51" s="6">
        <v>41</v>
      </c>
      <c r="B51" s="19" t="s">
        <v>76</v>
      </c>
      <c r="C51" s="7"/>
      <c r="D51" s="7"/>
      <c r="E51" s="8">
        <f t="shared" si="30"/>
        <v>0</v>
      </c>
      <c r="F51" s="7"/>
      <c r="G51" s="7"/>
      <c r="H51" s="8">
        <f t="shared" si="31"/>
        <v>0</v>
      </c>
      <c r="I51" s="7"/>
      <c r="J51" s="7"/>
      <c r="K51" s="8">
        <f t="shared" si="32"/>
        <v>0</v>
      </c>
      <c r="L51" s="7"/>
      <c r="M51" s="7"/>
      <c r="N51" s="8">
        <f t="shared" si="33"/>
        <v>0</v>
      </c>
      <c r="O51" s="7"/>
      <c r="P51" s="7"/>
      <c r="Q51" s="8">
        <f t="shared" si="34"/>
        <v>0</v>
      </c>
      <c r="R51" s="7"/>
      <c r="S51" s="7"/>
      <c r="T51" s="8">
        <f t="shared" si="35"/>
        <v>0</v>
      </c>
      <c r="U51" s="7"/>
      <c r="V51" s="7"/>
      <c r="W51" s="8">
        <f t="shared" si="36"/>
        <v>0</v>
      </c>
      <c r="X51" s="7"/>
      <c r="Y51" s="7"/>
      <c r="Z51" s="8">
        <f t="shared" si="37"/>
        <v>0</v>
      </c>
      <c r="AA51" s="7"/>
      <c r="AB51" s="7"/>
      <c r="AC51" s="8">
        <f t="shared" si="38"/>
        <v>0</v>
      </c>
      <c r="AD51" s="7"/>
      <c r="AE51" s="7"/>
      <c r="AF51" s="8">
        <f t="shared" si="39"/>
        <v>0</v>
      </c>
      <c r="AG51" s="7"/>
      <c r="AH51" s="7"/>
      <c r="AI51" s="8">
        <f t="shared" si="40"/>
        <v>0</v>
      </c>
      <c r="AJ51" s="7"/>
      <c r="AK51" s="7"/>
      <c r="AL51" s="8">
        <f t="shared" si="41"/>
        <v>0</v>
      </c>
      <c r="AM51" s="7"/>
      <c r="AN51" s="7"/>
      <c r="AO51" s="8">
        <f t="shared" si="42"/>
        <v>0</v>
      </c>
      <c r="AP51" s="6">
        <f t="shared" si="66"/>
        <v>41</v>
      </c>
      <c r="AQ51" s="6" t="str">
        <f t="shared" si="66"/>
        <v>Picture Making</v>
      </c>
      <c r="AR51" s="7">
        <f t="shared" si="74"/>
        <v>0</v>
      </c>
      <c r="AS51" s="7">
        <f t="shared" si="74"/>
        <v>0</v>
      </c>
      <c r="AT51" s="8">
        <f t="shared" si="75"/>
        <v>0</v>
      </c>
      <c r="AU51" s="9">
        <f t="shared" si="76"/>
        <v>0</v>
      </c>
      <c r="AV51" s="9">
        <f t="shared" si="76"/>
        <v>0</v>
      </c>
      <c r="AW51" s="10">
        <f t="shared" si="76"/>
        <v>0</v>
      </c>
      <c r="AX51" s="7">
        <f t="shared" si="77"/>
        <v>0</v>
      </c>
      <c r="AY51" s="7">
        <f t="shared" si="77"/>
        <v>0</v>
      </c>
      <c r="AZ51" s="8">
        <f t="shared" si="78"/>
        <v>0</v>
      </c>
      <c r="BA51" s="9">
        <f t="shared" si="79"/>
        <v>0</v>
      </c>
      <c r="BB51" s="9">
        <f t="shared" si="79"/>
        <v>0</v>
      </c>
      <c r="BC51" s="10">
        <f t="shared" si="80"/>
        <v>0</v>
      </c>
      <c r="BD51" s="7">
        <f t="shared" si="81"/>
        <v>0</v>
      </c>
      <c r="BE51" s="7">
        <f t="shared" si="81"/>
        <v>0</v>
      </c>
      <c r="BF51" s="8">
        <f t="shared" si="82"/>
        <v>0</v>
      </c>
      <c r="BG51" s="9">
        <f t="shared" si="83"/>
        <v>0</v>
      </c>
      <c r="BH51" s="9">
        <f t="shared" si="83"/>
        <v>0</v>
      </c>
      <c r="BI51" s="10">
        <f t="shared" si="83"/>
        <v>0</v>
      </c>
      <c r="BJ51" s="7">
        <f t="shared" si="84"/>
        <v>0</v>
      </c>
      <c r="BK51" s="7">
        <f t="shared" si="84"/>
        <v>0</v>
      </c>
      <c r="BL51" s="8">
        <f t="shared" si="85"/>
        <v>0</v>
      </c>
      <c r="BM51" s="9">
        <f t="shared" si="86"/>
        <v>0</v>
      </c>
      <c r="BN51" s="9">
        <f t="shared" si="87"/>
        <v>0</v>
      </c>
      <c r="BO51" s="10">
        <f t="shared" si="88"/>
        <v>0</v>
      </c>
    </row>
    <row r="52" spans="1:67" ht="12" customHeight="1">
      <c r="A52" s="6">
        <v>42</v>
      </c>
      <c r="B52" s="19" t="s">
        <v>77</v>
      </c>
      <c r="C52" s="7"/>
      <c r="D52" s="7"/>
      <c r="E52" s="8">
        <f t="shared" si="30"/>
        <v>0</v>
      </c>
      <c r="F52" s="7"/>
      <c r="G52" s="7"/>
      <c r="H52" s="8">
        <f t="shared" si="31"/>
        <v>0</v>
      </c>
      <c r="I52" s="7"/>
      <c r="J52" s="7"/>
      <c r="K52" s="8">
        <f t="shared" si="32"/>
        <v>0</v>
      </c>
      <c r="L52" s="7"/>
      <c r="M52" s="7"/>
      <c r="N52" s="8">
        <f t="shared" si="33"/>
        <v>0</v>
      </c>
      <c r="O52" s="7"/>
      <c r="P52" s="7"/>
      <c r="Q52" s="8">
        <f t="shared" si="34"/>
        <v>0</v>
      </c>
      <c r="R52" s="7"/>
      <c r="S52" s="7"/>
      <c r="T52" s="8">
        <f t="shared" si="35"/>
        <v>0</v>
      </c>
      <c r="U52" s="7"/>
      <c r="V52" s="7"/>
      <c r="W52" s="8">
        <f t="shared" si="36"/>
        <v>0</v>
      </c>
      <c r="X52" s="7"/>
      <c r="Y52" s="7"/>
      <c r="Z52" s="8">
        <f t="shared" si="37"/>
        <v>0</v>
      </c>
      <c r="AA52" s="7"/>
      <c r="AB52" s="7"/>
      <c r="AC52" s="8">
        <f t="shared" si="38"/>
        <v>0</v>
      </c>
      <c r="AD52" s="7"/>
      <c r="AE52" s="7"/>
      <c r="AF52" s="8">
        <f t="shared" si="39"/>
        <v>0</v>
      </c>
      <c r="AG52" s="7"/>
      <c r="AH52" s="7"/>
      <c r="AI52" s="8">
        <f t="shared" si="40"/>
        <v>0</v>
      </c>
      <c r="AJ52" s="7"/>
      <c r="AK52" s="7"/>
      <c r="AL52" s="8">
        <f t="shared" si="41"/>
        <v>0</v>
      </c>
      <c r="AM52" s="7"/>
      <c r="AN52" s="7"/>
      <c r="AO52" s="8">
        <f t="shared" si="42"/>
        <v>0</v>
      </c>
      <c r="AP52" s="6">
        <f t="shared" si="66"/>
        <v>42</v>
      </c>
      <c r="AQ52" s="6" t="str">
        <f t="shared" si="66"/>
        <v>Basketry</v>
      </c>
      <c r="AR52" s="7">
        <f t="shared" si="74"/>
        <v>0</v>
      </c>
      <c r="AS52" s="7">
        <f t="shared" si="74"/>
        <v>0</v>
      </c>
      <c r="AT52" s="8">
        <f t="shared" si="75"/>
        <v>0</v>
      </c>
      <c r="AU52" s="9">
        <f t="shared" si="76"/>
        <v>0</v>
      </c>
      <c r="AV52" s="9">
        <f t="shared" si="76"/>
        <v>0</v>
      </c>
      <c r="AW52" s="10">
        <f t="shared" si="76"/>
        <v>0</v>
      </c>
      <c r="AX52" s="7">
        <f t="shared" si="77"/>
        <v>0</v>
      </c>
      <c r="AY52" s="7">
        <f t="shared" si="77"/>
        <v>0</v>
      </c>
      <c r="AZ52" s="8">
        <f t="shared" si="78"/>
        <v>0</v>
      </c>
      <c r="BA52" s="9">
        <f t="shared" si="79"/>
        <v>0</v>
      </c>
      <c r="BB52" s="9">
        <f t="shared" si="79"/>
        <v>0</v>
      </c>
      <c r="BC52" s="10">
        <f t="shared" si="80"/>
        <v>0</v>
      </c>
      <c r="BD52" s="7">
        <f t="shared" si="81"/>
        <v>0</v>
      </c>
      <c r="BE52" s="7">
        <f t="shared" si="81"/>
        <v>0</v>
      </c>
      <c r="BF52" s="8">
        <f t="shared" si="82"/>
        <v>0</v>
      </c>
      <c r="BG52" s="9">
        <f t="shared" si="83"/>
        <v>0</v>
      </c>
      <c r="BH52" s="9">
        <f t="shared" si="83"/>
        <v>0</v>
      </c>
      <c r="BI52" s="10">
        <f t="shared" si="83"/>
        <v>0</v>
      </c>
      <c r="BJ52" s="7">
        <f t="shared" si="84"/>
        <v>0</v>
      </c>
      <c r="BK52" s="7">
        <f t="shared" si="84"/>
        <v>0</v>
      </c>
      <c r="BL52" s="8">
        <f t="shared" si="85"/>
        <v>0</v>
      </c>
      <c r="BM52" s="9">
        <f t="shared" si="86"/>
        <v>0</v>
      </c>
      <c r="BN52" s="9">
        <f t="shared" si="87"/>
        <v>0</v>
      </c>
      <c r="BO52" s="10">
        <f t="shared" si="88"/>
        <v>0</v>
      </c>
    </row>
    <row r="53" spans="1:67" ht="12" customHeight="1">
      <c r="A53" s="6">
        <v>43</v>
      </c>
      <c r="B53" s="19" t="s">
        <v>78</v>
      </c>
      <c r="C53" s="7"/>
      <c r="D53" s="7"/>
      <c r="E53" s="8">
        <f t="shared" si="30"/>
        <v>0</v>
      </c>
      <c r="F53" s="7"/>
      <c r="G53" s="7"/>
      <c r="H53" s="8">
        <f t="shared" si="31"/>
        <v>0</v>
      </c>
      <c r="I53" s="7"/>
      <c r="J53" s="7"/>
      <c r="K53" s="8">
        <f t="shared" si="32"/>
        <v>0</v>
      </c>
      <c r="L53" s="7"/>
      <c r="M53" s="7"/>
      <c r="N53" s="8">
        <f t="shared" si="33"/>
        <v>0</v>
      </c>
      <c r="O53" s="7"/>
      <c r="P53" s="7"/>
      <c r="Q53" s="8">
        <f t="shared" si="34"/>
        <v>0</v>
      </c>
      <c r="R53" s="7"/>
      <c r="S53" s="7"/>
      <c r="T53" s="8">
        <f t="shared" si="35"/>
        <v>0</v>
      </c>
      <c r="U53" s="7"/>
      <c r="V53" s="7"/>
      <c r="W53" s="8">
        <f t="shared" si="36"/>
        <v>0</v>
      </c>
      <c r="X53" s="7"/>
      <c r="Y53" s="7"/>
      <c r="Z53" s="8">
        <f t="shared" si="37"/>
        <v>0</v>
      </c>
      <c r="AA53" s="7"/>
      <c r="AB53" s="7"/>
      <c r="AC53" s="8">
        <f t="shared" si="38"/>
        <v>0</v>
      </c>
      <c r="AD53" s="7"/>
      <c r="AE53" s="7"/>
      <c r="AF53" s="8">
        <f t="shared" si="39"/>
        <v>0</v>
      </c>
      <c r="AG53" s="7"/>
      <c r="AH53" s="7"/>
      <c r="AI53" s="8">
        <f t="shared" si="40"/>
        <v>0</v>
      </c>
      <c r="AJ53" s="7"/>
      <c r="AK53" s="7"/>
      <c r="AL53" s="8">
        <f t="shared" si="41"/>
        <v>0</v>
      </c>
      <c r="AM53" s="7"/>
      <c r="AN53" s="7"/>
      <c r="AO53" s="8">
        <f t="shared" si="42"/>
        <v>0</v>
      </c>
      <c r="AP53" s="6">
        <f t="shared" si="66"/>
        <v>43</v>
      </c>
      <c r="AQ53" s="6" t="str">
        <f t="shared" si="66"/>
        <v>Ceramics</v>
      </c>
      <c r="AR53" s="7">
        <f t="shared" si="74"/>
        <v>0</v>
      </c>
      <c r="AS53" s="7">
        <f t="shared" si="74"/>
        <v>0</v>
      </c>
      <c r="AT53" s="8">
        <f t="shared" si="75"/>
        <v>0</v>
      </c>
      <c r="AU53" s="9">
        <f t="shared" si="76"/>
        <v>0</v>
      </c>
      <c r="AV53" s="9">
        <f t="shared" si="76"/>
        <v>0</v>
      </c>
      <c r="AW53" s="10">
        <f t="shared" si="76"/>
        <v>0</v>
      </c>
      <c r="AX53" s="7">
        <f t="shared" si="77"/>
        <v>0</v>
      </c>
      <c r="AY53" s="7">
        <f t="shared" si="77"/>
        <v>0</v>
      </c>
      <c r="AZ53" s="8">
        <f t="shared" si="78"/>
        <v>0</v>
      </c>
      <c r="BA53" s="9">
        <f t="shared" si="79"/>
        <v>0</v>
      </c>
      <c r="BB53" s="9">
        <f t="shared" si="79"/>
        <v>0</v>
      </c>
      <c r="BC53" s="10">
        <f t="shared" si="80"/>
        <v>0</v>
      </c>
      <c r="BD53" s="7">
        <f t="shared" si="81"/>
        <v>0</v>
      </c>
      <c r="BE53" s="7">
        <f t="shared" si="81"/>
        <v>0</v>
      </c>
      <c r="BF53" s="8">
        <f t="shared" si="82"/>
        <v>0</v>
      </c>
      <c r="BG53" s="9">
        <f t="shared" si="83"/>
        <v>0</v>
      </c>
      <c r="BH53" s="9">
        <f t="shared" si="83"/>
        <v>0</v>
      </c>
      <c r="BI53" s="10">
        <f t="shared" si="83"/>
        <v>0</v>
      </c>
      <c r="BJ53" s="7">
        <f t="shared" si="84"/>
        <v>0</v>
      </c>
      <c r="BK53" s="7">
        <f t="shared" si="84"/>
        <v>0</v>
      </c>
      <c r="BL53" s="8">
        <f t="shared" si="85"/>
        <v>0</v>
      </c>
      <c r="BM53" s="9">
        <f t="shared" si="86"/>
        <v>0</v>
      </c>
      <c r="BN53" s="9">
        <f t="shared" si="87"/>
        <v>0</v>
      </c>
      <c r="BO53" s="10">
        <f t="shared" si="88"/>
        <v>0</v>
      </c>
    </row>
    <row r="54" spans="1:67" ht="12" customHeight="1">
      <c r="A54" s="6">
        <v>44</v>
      </c>
      <c r="B54" s="19" t="s">
        <v>79</v>
      </c>
      <c r="C54" s="7"/>
      <c r="D54" s="7"/>
      <c r="E54" s="8">
        <f t="shared" si="30"/>
        <v>0</v>
      </c>
      <c r="F54" s="7"/>
      <c r="G54" s="7"/>
      <c r="H54" s="8">
        <f t="shared" si="31"/>
        <v>0</v>
      </c>
      <c r="I54" s="7"/>
      <c r="J54" s="7"/>
      <c r="K54" s="8">
        <f t="shared" si="32"/>
        <v>0</v>
      </c>
      <c r="L54" s="7"/>
      <c r="M54" s="7"/>
      <c r="N54" s="8">
        <f t="shared" si="33"/>
        <v>0</v>
      </c>
      <c r="O54" s="7"/>
      <c r="P54" s="7"/>
      <c r="Q54" s="8">
        <f t="shared" si="34"/>
        <v>0</v>
      </c>
      <c r="R54" s="7"/>
      <c r="S54" s="7"/>
      <c r="T54" s="8">
        <f t="shared" si="35"/>
        <v>0</v>
      </c>
      <c r="U54" s="7"/>
      <c r="V54" s="7"/>
      <c r="W54" s="8">
        <f t="shared" si="36"/>
        <v>0</v>
      </c>
      <c r="X54" s="7"/>
      <c r="Y54" s="7"/>
      <c r="Z54" s="8">
        <f t="shared" si="37"/>
        <v>0</v>
      </c>
      <c r="AA54" s="7"/>
      <c r="AB54" s="7"/>
      <c r="AC54" s="8">
        <f t="shared" si="38"/>
        <v>0</v>
      </c>
      <c r="AD54" s="7"/>
      <c r="AE54" s="7"/>
      <c r="AF54" s="8">
        <f t="shared" si="39"/>
        <v>0</v>
      </c>
      <c r="AG54" s="7"/>
      <c r="AH54" s="7"/>
      <c r="AI54" s="8">
        <f t="shared" si="40"/>
        <v>0</v>
      </c>
      <c r="AJ54" s="7"/>
      <c r="AK54" s="7"/>
      <c r="AL54" s="8">
        <f t="shared" si="41"/>
        <v>0</v>
      </c>
      <c r="AM54" s="7"/>
      <c r="AN54" s="7"/>
      <c r="AO54" s="8">
        <f t="shared" si="42"/>
        <v>0</v>
      </c>
      <c r="AP54" s="6">
        <f t="shared" si="66"/>
        <v>44</v>
      </c>
      <c r="AQ54" s="6" t="str">
        <f t="shared" si="66"/>
        <v>Jewelry</v>
      </c>
      <c r="AR54" s="7">
        <f t="shared" si="74"/>
        <v>0</v>
      </c>
      <c r="AS54" s="7">
        <f t="shared" si="74"/>
        <v>0</v>
      </c>
      <c r="AT54" s="8">
        <f t="shared" si="75"/>
        <v>0</v>
      </c>
      <c r="AU54" s="9">
        <f t="shared" si="76"/>
        <v>0</v>
      </c>
      <c r="AV54" s="9">
        <f t="shared" si="76"/>
        <v>0</v>
      </c>
      <c r="AW54" s="10">
        <f t="shared" si="76"/>
        <v>0</v>
      </c>
      <c r="AX54" s="7">
        <f t="shared" si="77"/>
        <v>0</v>
      </c>
      <c r="AY54" s="7">
        <f t="shared" si="77"/>
        <v>0</v>
      </c>
      <c r="AZ54" s="8">
        <f t="shared" si="78"/>
        <v>0</v>
      </c>
      <c r="BA54" s="9">
        <f t="shared" si="79"/>
        <v>0</v>
      </c>
      <c r="BB54" s="9">
        <f t="shared" si="79"/>
        <v>0</v>
      </c>
      <c r="BC54" s="10">
        <f t="shared" si="80"/>
        <v>0</v>
      </c>
      <c r="BD54" s="7">
        <f t="shared" si="81"/>
        <v>0</v>
      </c>
      <c r="BE54" s="7">
        <f t="shared" si="81"/>
        <v>0</v>
      </c>
      <c r="BF54" s="8">
        <f t="shared" si="82"/>
        <v>0</v>
      </c>
      <c r="BG54" s="9">
        <f t="shared" si="83"/>
        <v>0</v>
      </c>
      <c r="BH54" s="9">
        <f t="shared" si="83"/>
        <v>0</v>
      </c>
      <c r="BI54" s="10">
        <f t="shared" si="83"/>
        <v>0</v>
      </c>
      <c r="BJ54" s="7">
        <f t="shared" si="84"/>
        <v>0</v>
      </c>
      <c r="BK54" s="7">
        <f t="shared" si="84"/>
        <v>0</v>
      </c>
      <c r="BL54" s="8">
        <f t="shared" si="85"/>
        <v>0</v>
      </c>
      <c r="BM54" s="9">
        <f t="shared" si="86"/>
        <v>0</v>
      </c>
      <c r="BN54" s="9">
        <f t="shared" si="87"/>
        <v>0</v>
      </c>
      <c r="BO54" s="10">
        <f t="shared" si="88"/>
        <v>0</v>
      </c>
    </row>
    <row r="55" spans="1:67" ht="12" customHeight="1">
      <c r="A55" s="6">
        <v>45</v>
      </c>
      <c r="B55" s="19" t="s">
        <v>80</v>
      </c>
      <c r="C55" s="7"/>
      <c r="D55" s="7"/>
      <c r="E55" s="8">
        <f t="shared" si="30"/>
        <v>0</v>
      </c>
      <c r="F55" s="7"/>
      <c r="G55" s="7"/>
      <c r="H55" s="8">
        <f t="shared" si="31"/>
        <v>0</v>
      </c>
      <c r="I55" s="7"/>
      <c r="J55" s="7"/>
      <c r="K55" s="8">
        <f t="shared" si="32"/>
        <v>0</v>
      </c>
      <c r="L55" s="7"/>
      <c r="M55" s="7"/>
      <c r="N55" s="8">
        <f t="shared" si="33"/>
        <v>0</v>
      </c>
      <c r="O55" s="7"/>
      <c r="P55" s="7"/>
      <c r="Q55" s="8">
        <f t="shared" si="34"/>
        <v>0</v>
      </c>
      <c r="R55" s="7"/>
      <c r="S55" s="7"/>
      <c r="T55" s="8">
        <f t="shared" si="35"/>
        <v>0</v>
      </c>
      <c r="U55" s="7"/>
      <c r="V55" s="7"/>
      <c r="W55" s="8">
        <f t="shared" si="36"/>
        <v>0</v>
      </c>
      <c r="X55" s="7"/>
      <c r="Y55" s="7"/>
      <c r="Z55" s="8">
        <f t="shared" si="37"/>
        <v>0</v>
      </c>
      <c r="AA55" s="7"/>
      <c r="AB55" s="7"/>
      <c r="AC55" s="8">
        <f t="shared" si="38"/>
        <v>0</v>
      </c>
      <c r="AD55" s="7"/>
      <c r="AE55" s="7"/>
      <c r="AF55" s="8">
        <f t="shared" si="39"/>
        <v>0</v>
      </c>
      <c r="AG55" s="7"/>
      <c r="AH55" s="7"/>
      <c r="AI55" s="8">
        <f t="shared" si="40"/>
        <v>0</v>
      </c>
      <c r="AJ55" s="7"/>
      <c r="AK55" s="7"/>
      <c r="AL55" s="8">
        <f t="shared" si="41"/>
        <v>0</v>
      </c>
      <c r="AM55" s="7"/>
      <c r="AN55" s="7"/>
      <c r="AO55" s="8">
        <f t="shared" si="42"/>
        <v>0</v>
      </c>
      <c r="AP55" s="6">
        <f t="shared" si="66"/>
        <v>45</v>
      </c>
      <c r="AQ55" s="6" t="str">
        <f t="shared" si="66"/>
        <v>Leather Work</v>
      </c>
      <c r="AR55" s="7">
        <f t="shared" si="74"/>
        <v>0</v>
      </c>
      <c r="AS55" s="7">
        <f t="shared" si="74"/>
        <v>0</v>
      </c>
      <c r="AT55" s="8">
        <f t="shared" si="75"/>
        <v>0</v>
      </c>
      <c r="AU55" s="9">
        <f t="shared" si="76"/>
        <v>0</v>
      </c>
      <c r="AV55" s="9">
        <f t="shared" si="76"/>
        <v>0</v>
      </c>
      <c r="AW55" s="10">
        <f t="shared" si="76"/>
        <v>0</v>
      </c>
      <c r="AX55" s="7">
        <f t="shared" si="77"/>
        <v>0</v>
      </c>
      <c r="AY55" s="7">
        <f t="shared" si="77"/>
        <v>0</v>
      </c>
      <c r="AZ55" s="8">
        <f t="shared" si="78"/>
        <v>0</v>
      </c>
      <c r="BA55" s="9">
        <f t="shared" si="79"/>
        <v>0</v>
      </c>
      <c r="BB55" s="9">
        <f t="shared" si="79"/>
        <v>0</v>
      </c>
      <c r="BC55" s="10">
        <f t="shared" si="80"/>
        <v>0</v>
      </c>
      <c r="BD55" s="7">
        <f t="shared" si="81"/>
        <v>0</v>
      </c>
      <c r="BE55" s="7">
        <f t="shared" si="81"/>
        <v>0</v>
      </c>
      <c r="BF55" s="8">
        <f t="shared" si="82"/>
        <v>0</v>
      </c>
      <c r="BG55" s="9">
        <f t="shared" si="83"/>
        <v>0</v>
      </c>
      <c r="BH55" s="9">
        <f t="shared" si="83"/>
        <v>0</v>
      </c>
      <c r="BI55" s="10">
        <f t="shared" si="83"/>
        <v>0</v>
      </c>
      <c r="BJ55" s="7">
        <f t="shared" si="84"/>
        <v>0</v>
      </c>
      <c r="BK55" s="7">
        <f t="shared" si="84"/>
        <v>0</v>
      </c>
      <c r="BL55" s="8">
        <f t="shared" si="85"/>
        <v>0</v>
      </c>
      <c r="BM55" s="9">
        <f t="shared" si="86"/>
        <v>0</v>
      </c>
      <c r="BN55" s="9">
        <f t="shared" si="87"/>
        <v>0</v>
      </c>
      <c r="BO55" s="10">
        <f t="shared" si="88"/>
        <v>0</v>
      </c>
    </row>
    <row r="56" spans="1:67" ht="12" customHeight="1">
      <c r="A56" s="6">
        <v>46</v>
      </c>
      <c r="B56" s="20" t="s">
        <v>81</v>
      </c>
      <c r="C56" s="7"/>
      <c r="D56" s="7"/>
      <c r="E56" s="8">
        <f t="shared" si="30"/>
        <v>0</v>
      </c>
      <c r="F56" s="7"/>
      <c r="G56" s="7"/>
      <c r="H56" s="8">
        <f t="shared" si="31"/>
        <v>0</v>
      </c>
      <c r="I56" s="7"/>
      <c r="J56" s="7"/>
      <c r="K56" s="8">
        <f t="shared" si="32"/>
        <v>0</v>
      </c>
      <c r="L56" s="7"/>
      <c r="M56" s="7"/>
      <c r="N56" s="8">
        <f t="shared" si="33"/>
        <v>0</v>
      </c>
      <c r="O56" s="7"/>
      <c r="P56" s="7"/>
      <c r="Q56" s="8">
        <f t="shared" si="34"/>
        <v>0</v>
      </c>
      <c r="R56" s="7"/>
      <c r="S56" s="7"/>
      <c r="T56" s="8">
        <f t="shared" si="35"/>
        <v>0</v>
      </c>
      <c r="U56" s="7"/>
      <c r="V56" s="7"/>
      <c r="W56" s="8">
        <f t="shared" si="36"/>
        <v>0</v>
      </c>
      <c r="X56" s="7"/>
      <c r="Y56" s="7"/>
      <c r="Z56" s="8">
        <f t="shared" si="37"/>
        <v>0</v>
      </c>
      <c r="AA56" s="7"/>
      <c r="AB56" s="7"/>
      <c r="AC56" s="8">
        <f t="shared" si="38"/>
        <v>0</v>
      </c>
      <c r="AD56" s="7"/>
      <c r="AE56" s="7"/>
      <c r="AF56" s="8">
        <f t="shared" si="39"/>
        <v>0</v>
      </c>
      <c r="AG56" s="7"/>
      <c r="AH56" s="7"/>
      <c r="AI56" s="8">
        <f t="shared" si="40"/>
        <v>0</v>
      </c>
      <c r="AJ56" s="7"/>
      <c r="AK56" s="7"/>
      <c r="AL56" s="8">
        <f t="shared" si="41"/>
        <v>0</v>
      </c>
      <c r="AM56" s="7"/>
      <c r="AN56" s="7"/>
      <c r="AO56" s="8">
        <f t="shared" si="42"/>
        <v>0</v>
      </c>
      <c r="AP56" s="6">
        <f t="shared" si="66"/>
        <v>46</v>
      </c>
      <c r="AQ56" s="13" t="str">
        <f t="shared" si="66"/>
        <v>Sculpture</v>
      </c>
      <c r="AR56" s="7"/>
      <c r="AS56" s="7"/>
      <c r="AT56" s="8"/>
      <c r="AU56" s="9"/>
      <c r="AV56" s="9"/>
      <c r="AW56" s="10"/>
      <c r="AX56" s="7"/>
      <c r="AY56" s="7"/>
      <c r="AZ56" s="8"/>
      <c r="BA56" s="9"/>
      <c r="BB56" s="9"/>
      <c r="BC56" s="10"/>
      <c r="BD56" s="7"/>
      <c r="BE56" s="7"/>
      <c r="BF56" s="8"/>
      <c r="BG56" s="9"/>
      <c r="BH56" s="9"/>
      <c r="BI56" s="10"/>
      <c r="BJ56" s="7"/>
      <c r="BK56" s="7"/>
      <c r="BL56" s="8"/>
      <c r="BM56" s="9"/>
      <c r="BN56" s="9"/>
      <c r="BO56" s="10"/>
    </row>
    <row r="57" spans="1:67" ht="12" customHeight="1">
      <c r="A57" s="6">
        <v>47</v>
      </c>
      <c r="B57" s="20" t="s">
        <v>82</v>
      </c>
      <c r="C57" s="7"/>
      <c r="D57" s="7"/>
      <c r="E57" s="8">
        <f t="shared" si="30"/>
        <v>0</v>
      </c>
      <c r="F57" s="7"/>
      <c r="G57" s="7"/>
      <c r="H57" s="8">
        <f t="shared" si="31"/>
        <v>0</v>
      </c>
      <c r="I57" s="7"/>
      <c r="J57" s="7"/>
      <c r="K57" s="8">
        <f t="shared" si="32"/>
        <v>0</v>
      </c>
      <c r="L57" s="7"/>
      <c r="M57" s="7"/>
      <c r="N57" s="8">
        <f t="shared" si="33"/>
        <v>0</v>
      </c>
      <c r="O57" s="7"/>
      <c r="P57" s="7"/>
      <c r="Q57" s="8">
        <f t="shared" si="34"/>
        <v>0</v>
      </c>
      <c r="R57" s="7"/>
      <c r="S57" s="7"/>
      <c r="T57" s="8">
        <f t="shared" si="35"/>
        <v>0</v>
      </c>
      <c r="U57" s="7"/>
      <c r="V57" s="7"/>
      <c r="W57" s="8">
        <f t="shared" si="36"/>
        <v>0</v>
      </c>
      <c r="X57" s="7"/>
      <c r="Y57" s="7"/>
      <c r="Z57" s="8">
        <f t="shared" si="37"/>
        <v>0</v>
      </c>
      <c r="AA57" s="7"/>
      <c r="AB57" s="7"/>
      <c r="AC57" s="8">
        <f t="shared" si="38"/>
        <v>0</v>
      </c>
      <c r="AD57" s="7"/>
      <c r="AE57" s="7"/>
      <c r="AF57" s="8">
        <f t="shared" si="39"/>
        <v>0</v>
      </c>
      <c r="AG57" s="7"/>
      <c r="AH57" s="7"/>
      <c r="AI57" s="8">
        <f t="shared" si="40"/>
        <v>0</v>
      </c>
      <c r="AJ57" s="7"/>
      <c r="AK57" s="7"/>
      <c r="AL57" s="8">
        <f t="shared" si="41"/>
        <v>0</v>
      </c>
      <c r="AM57" s="7"/>
      <c r="AN57" s="7"/>
      <c r="AO57" s="8">
        <f t="shared" si="42"/>
        <v>0</v>
      </c>
      <c r="AP57" s="6">
        <f t="shared" si="66"/>
        <v>47</v>
      </c>
      <c r="AQ57" s="13" t="str">
        <f t="shared" si="66"/>
        <v>Applied Electricity</v>
      </c>
      <c r="AR57" s="7"/>
      <c r="AS57" s="7"/>
      <c r="AT57" s="8"/>
      <c r="AU57" s="9"/>
      <c r="AV57" s="9"/>
      <c r="AW57" s="10"/>
      <c r="AX57" s="7"/>
      <c r="AY57" s="7"/>
      <c r="AZ57" s="8"/>
      <c r="BA57" s="9"/>
      <c r="BB57" s="9"/>
      <c r="BC57" s="10"/>
      <c r="BD57" s="7"/>
      <c r="BE57" s="7"/>
      <c r="BF57" s="8"/>
      <c r="BG57" s="9"/>
      <c r="BH57" s="9"/>
      <c r="BI57" s="10"/>
      <c r="BJ57" s="7"/>
      <c r="BK57" s="7"/>
      <c r="BL57" s="8"/>
      <c r="BM57" s="9"/>
      <c r="BN57" s="9"/>
      <c r="BO57" s="10"/>
    </row>
    <row r="58" spans="1:67" ht="15.75" customHeight="1">
      <c r="A58" s="12"/>
      <c r="B58" s="21" t="s">
        <v>83</v>
      </c>
      <c r="C58" s="8">
        <f t="shared" ref="C58:K58" si="89">MAX(C10:C55)</f>
        <v>6</v>
      </c>
      <c r="D58" s="8">
        <f t="shared" si="89"/>
        <v>44</v>
      </c>
      <c r="E58" s="8">
        <f t="shared" si="89"/>
        <v>50</v>
      </c>
      <c r="F58" s="8">
        <f t="shared" si="89"/>
        <v>5</v>
      </c>
      <c r="G58" s="8">
        <f t="shared" si="89"/>
        <v>44</v>
      </c>
      <c r="H58" s="8">
        <f t="shared" si="89"/>
        <v>49</v>
      </c>
      <c r="I58" s="8">
        <f t="shared" si="89"/>
        <v>1</v>
      </c>
      <c r="J58" s="8">
        <f t="shared" si="89"/>
        <v>0</v>
      </c>
      <c r="K58" s="8">
        <f t="shared" si="89"/>
        <v>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12"/>
      <c r="AQ58" s="22" t="s">
        <v>84</v>
      </c>
      <c r="AR58" s="8">
        <f t="shared" ref="AR58:AT58" si="90">SUM(AR16:AR55,AR10:AR14)</f>
        <v>15</v>
      </c>
      <c r="AS58" s="8">
        <f t="shared" si="90"/>
        <v>83</v>
      </c>
      <c r="AT58" s="8">
        <f t="shared" si="90"/>
        <v>98</v>
      </c>
      <c r="AU58" s="10">
        <f>IF(F58=0,0,IF(F58&gt;0,AR58/F58))</f>
        <v>3</v>
      </c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1:6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ht="15.75" customHeight="1">
      <c r="A66" s="1"/>
      <c r="B66" s="2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ht="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ht="9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ht="9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t="9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ht="9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ht="9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ht="9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ht="9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ht="9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ht="9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ht="9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ht="9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ht="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ht="9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ht="9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ht="9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1:67" ht="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ht="9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ht="9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ht="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ht="9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ht="9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ht="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1:67" ht="9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ht="9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1:67" ht="9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ht="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1:67" ht="9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ht="9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spans="1:67" ht="9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spans="1:67" ht="9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ht="9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ht="9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spans="1:67" ht="9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</sheetData>
  <mergeCells count="38">
    <mergeCell ref="A1:AO1"/>
    <mergeCell ref="A2:AO2"/>
    <mergeCell ref="A3:AO3"/>
    <mergeCell ref="A4:AO4"/>
    <mergeCell ref="A5:B5"/>
    <mergeCell ref="C5:Q5"/>
    <mergeCell ref="AP5:AQ5"/>
    <mergeCell ref="AR5:BC5"/>
    <mergeCell ref="A6:A8"/>
    <mergeCell ref="B6:B8"/>
    <mergeCell ref="C6:K6"/>
    <mergeCell ref="L6:N7"/>
    <mergeCell ref="O6:AO6"/>
    <mergeCell ref="AP6:AP8"/>
    <mergeCell ref="AQ6:AQ8"/>
    <mergeCell ref="AR6:AT7"/>
    <mergeCell ref="C15:AO15"/>
    <mergeCell ref="BM6:BO7"/>
    <mergeCell ref="C7:E7"/>
    <mergeCell ref="F7:H7"/>
    <mergeCell ref="I7:K7"/>
    <mergeCell ref="O7:Q7"/>
    <mergeCell ref="R7:T7"/>
    <mergeCell ref="U7:W7"/>
    <mergeCell ref="X7:Z7"/>
    <mergeCell ref="AA7:AC7"/>
    <mergeCell ref="AD7:AF7"/>
    <mergeCell ref="AU6:AW7"/>
    <mergeCell ref="AX6:AZ7"/>
    <mergeCell ref="BA6:BC7"/>
    <mergeCell ref="BD6:BF7"/>
    <mergeCell ref="BG6:BI7"/>
    <mergeCell ref="AG7:AI7"/>
    <mergeCell ref="AJ7:AL7"/>
    <mergeCell ref="AM7:AO7"/>
    <mergeCell ref="C9:AO9"/>
    <mergeCell ref="AR9:BO9"/>
    <mergeCell ref="BJ6:BL7"/>
  </mergeCells>
  <pageMargins left="0.25" right="0.25" top="0.75" bottom="0.75" header="0.3" footer="0.3"/>
  <pageSetup paperSize="9"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ST. AUGUSTINES SHTS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 Adams</dc:creator>
  <cp:lastModifiedBy>Tang Alex</cp:lastModifiedBy>
  <cp:lastPrinted>2025-04-30T06:18:56Z</cp:lastPrinted>
  <dcterms:created xsi:type="dcterms:W3CDTF">2025-03-17T08:33:48Z</dcterms:created>
  <dcterms:modified xsi:type="dcterms:W3CDTF">2025-04-30T06:20:28Z</dcterms:modified>
</cp:coreProperties>
</file>