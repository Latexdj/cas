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D5A6852-855F-46D8-AF87-59EBFE09D8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" sheetId="1" r:id="rId1"/>
  </sheets>
  <definedNames>
    <definedName name="_xlnm.Print_Area" localSheetId="0">Sample!$A$1:$AR$29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21" i="1" l="1"/>
  <c r="AI21" i="1"/>
  <c r="H16" i="1" l="1"/>
  <c r="H17" i="1"/>
  <c r="AQ13" i="1"/>
  <c r="N13" i="1"/>
  <c r="W13" i="1"/>
  <c r="AL21" i="1" l="1"/>
  <c r="AF21" i="1"/>
  <c r="AC21" i="1"/>
  <c r="Z21" i="1"/>
  <c r="W21" i="1"/>
  <c r="T21" i="1"/>
  <c r="Q21" i="1"/>
  <c r="N21" i="1"/>
  <c r="K21" i="1"/>
  <c r="H21" i="1"/>
  <c r="E21" i="1"/>
  <c r="AO20" i="1"/>
  <c r="AL20" i="1"/>
  <c r="AI20" i="1"/>
  <c r="AF20" i="1"/>
  <c r="AC20" i="1"/>
  <c r="Z20" i="1"/>
  <c r="W20" i="1"/>
  <c r="T20" i="1"/>
  <c r="Q20" i="1"/>
  <c r="N20" i="1"/>
  <c r="K20" i="1"/>
  <c r="H20" i="1"/>
  <c r="E20" i="1"/>
  <c r="AO19" i="1"/>
  <c r="AL19" i="1"/>
  <c r="AI19" i="1"/>
  <c r="AF19" i="1"/>
  <c r="AC19" i="1"/>
  <c r="Z19" i="1"/>
  <c r="W19" i="1"/>
  <c r="T19" i="1"/>
  <c r="Q19" i="1"/>
  <c r="N19" i="1"/>
  <c r="K19" i="1"/>
  <c r="H19" i="1"/>
  <c r="E19" i="1"/>
  <c r="AO18" i="1"/>
  <c r="AL18" i="1"/>
  <c r="AI18" i="1"/>
  <c r="AF18" i="1"/>
  <c r="AC18" i="1"/>
  <c r="Z18" i="1"/>
  <c r="W18" i="1"/>
  <c r="T18" i="1"/>
  <c r="Q18" i="1"/>
  <c r="N18" i="1"/>
  <c r="K18" i="1"/>
  <c r="H18" i="1"/>
  <c r="E18" i="1"/>
  <c r="AO17" i="1"/>
  <c r="AL17" i="1"/>
  <c r="AI17" i="1"/>
  <c r="AF17" i="1"/>
  <c r="AC17" i="1"/>
  <c r="Z17" i="1"/>
  <c r="W17" i="1"/>
  <c r="T17" i="1"/>
  <c r="Q17" i="1"/>
  <c r="N17" i="1"/>
  <c r="K17" i="1"/>
  <c r="E17" i="1"/>
  <c r="AO16" i="1"/>
  <c r="AL16" i="1"/>
  <c r="AI16" i="1"/>
  <c r="AF16" i="1"/>
  <c r="AC16" i="1"/>
  <c r="Z16" i="1"/>
  <c r="W16" i="1"/>
  <c r="T16" i="1"/>
  <c r="Q16" i="1"/>
  <c r="N16" i="1"/>
  <c r="K16" i="1"/>
  <c r="E16" i="1"/>
  <c r="AO15" i="1"/>
  <c r="AL15" i="1"/>
  <c r="AI15" i="1"/>
  <c r="AF15" i="1"/>
  <c r="AC15" i="1"/>
  <c r="Z15" i="1"/>
  <c r="W15" i="1"/>
  <c r="T15" i="1"/>
  <c r="Q15" i="1"/>
  <c r="N15" i="1"/>
  <c r="K15" i="1"/>
  <c r="H15" i="1"/>
  <c r="E15" i="1"/>
  <c r="AO13" i="1"/>
  <c r="AL13" i="1"/>
  <c r="AI13" i="1"/>
  <c r="AF13" i="1"/>
  <c r="AC13" i="1"/>
  <c r="Z13" i="1"/>
  <c r="T13" i="1"/>
  <c r="Q13" i="1"/>
  <c r="K13" i="1"/>
  <c r="H13" i="1"/>
  <c r="E13" i="1"/>
  <c r="AO12" i="1"/>
  <c r="AL12" i="1"/>
  <c r="AI12" i="1"/>
  <c r="AF12" i="1"/>
  <c r="AC12" i="1"/>
  <c r="Z12" i="1"/>
  <c r="W12" i="1"/>
  <c r="T12" i="1"/>
  <c r="Q12" i="1"/>
  <c r="N12" i="1"/>
  <c r="K12" i="1"/>
  <c r="H12" i="1"/>
  <c r="E12" i="1"/>
  <c r="AO11" i="1"/>
  <c r="AL11" i="1"/>
  <c r="AI11" i="1"/>
  <c r="AF11" i="1"/>
  <c r="AC11" i="1"/>
  <c r="Z11" i="1"/>
  <c r="W11" i="1"/>
  <c r="T11" i="1"/>
  <c r="Q11" i="1"/>
  <c r="N11" i="1"/>
  <c r="K11" i="1"/>
  <c r="H11" i="1"/>
  <c r="E11" i="1"/>
  <c r="AQ10" i="1"/>
  <c r="AP10" i="1"/>
  <c r="AO10" i="1"/>
  <c r="AL10" i="1"/>
  <c r="AI10" i="1"/>
  <c r="AF10" i="1"/>
  <c r="AC10" i="1"/>
  <c r="Z10" i="1"/>
  <c r="W10" i="1"/>
  <c r="T10" i="1"/>
  <c r="Q10" i="1"/>
  <c r="N10" i="1"/>
  <c r="K10" i="1"/>
  <c r="H10" i="1"/>
  <c r="E10" i="1"/>
  <c r="AR21" i="1" l="1"/>
  <c r="AR19" i="1"/>
  <c r="AR10" i="1"/>
  <c r="AR13" i="1"/>
  <c r="AQ21" i="1"/>
  <c r="AQ20" i="1"/>
  <c r="AQ19" i="1"/>
  <c r="AQ18" i="1"/>
  <c r="AP18" i="1"/>
  <c r="AQ17" i="1"/>
  <c r="AP17" i="1"/>
  <c r="AQ16" i="1"/>
  <c r="AP16" i="1"/>
  <c r="AQ15" i="1"/>
  <c r="AP15" i="1"/>
  <c r="AP13" i="1"/>
  <c r="AQ12" i="1"/>
  <c r="AP12" i="1"/>
  <c r="AQ11" i="1"/>
  <c r="AP11" i="1"/>
  <c r="AR20" i="1" l="1"/>
  <c r="AR18" i="1"/>
  <c r="AR16" i="1"/>
  <c r="AR12" i="1"/>
  <c r="AR11" i="1" l="1"/>
  <c r="AR15" i="1"/>
  <c r="AR17" i="1"/>
</calcChain>
</file>

<file path=xl/sharedStrings.xml><?xml version="1.0" encoding="utf-8"?>
<sst xmlns="http://schemas.openxmlformats.org/spreadsheetml/2006/main" count="92" uniqueCount="53">
  <si>
    <t>GHANA EDUCATION SERVICE</t>
  </si>
  <si>
    <t>SCHOOL:</t>
  </si>
  <si>
    <t>S/N</t>
  </si>
  <si>
    <t>SUBJECTS</t>
  </si>
  <si>
    <t>CANDIDATES</t>
  </si>
  <si>
    <t>CANCELLED PAPER</t>
  </si>
  <si>
    <t>GRADES OBTAINED (NO. OF CANDIDATES)</t>
  </si>
  <si>
    <t>REGISTERED</t>
  </si>
  <si>
    <t>PRESENTED</t>
  </si>
  <si>
    <t>ABSENT</t>
  </si>
  <si>
    <t>A1</t>
  </si>
  <si>
    <t>B2</t>
  </si>
  <si>
    <t>B3</t>
  </si>
  <si>
    <t>C4</t>
  </si>
  <si>
    <t>C5</t>
  </si>
  <si>
    <t>C6</t>
  </si>
  <si>
    <t>D7</t>
  </si>
  <si>
    <t>E8</t>
  </si>
  <si>
    <t>F9</t>
  </si>
  <si>
    <t>B</t>
  </si>
  <si>
    <t>G</t>
  </si>
  <si>
    <t>T</t>
  </si>
  <si>
    <t>Core</t>
  </si>
  <si>
    <t>English Language</t>
  </si>
  <si>
    <t>Mathemaics</t>
  </si>
  <si>
    <t>Integrated Science</t>
  </si>
  <si>
    <t>Social Studies</t>
  </si>
  <si>
    <t>Electives</t>
  </si>
  <si>
    <t>Economics</t>
  </si>
  <si>
    <t>History</t>
  </si>
  <si>
    <t>Literature in English</t>
  </si>
  <si>
    <t>Christian Religious Studies</t>
  </si>
  <si>
    <t>Management in Living</t>
  </si>
  <si>
    <t>Food and Nutrition</t>
  </si>
  <si>
    <t>PERCENTAGE PASS</t>
  </si>
  <si>
    <t>UPPER WEST REGION</t>
  </si>
  <si>
    <t xml:space="preserve">biology </t>
  </si>
  <si>
    <t>ST AUGUSTINE'S SENIOR HIGH TECHNICAL SCHOOL</t>
  </si>
  <si>
    <t>SUMMARY OF SUBJECTS PASSED</t>
  </si>
  <si>
    <t>TOTAL NUMBER OF CANDIDATES     82</t>
  </si>
  <si>
    <t>RESULTS  HELD       =0</t>
  </si>
  <si>
    <t>ENTIRE RESULTS CANCELLED      =0</t>
  </si>
  <si>
    <t>WASSCE 2023 SCHOOL RESULT ANALYSIS</t>
  </si>
  <si>
    <t>8 PASSES     =0</t>
  </si>
  <si>
    <t>7 PASSES      =1</t>
  </si>
  <si>
    <t>6 PASSES      =3</t>
  </si>
  <si>
    <t>5 PASSES     =2</t>
  </si>
  <si>
    <t>4 PASSES      =6</t>
  </si>
  <si>
    <t>3 PASSES      =5</t>
  </si>
  <si>
    <t>2 PASSES     =1</t>
  </si>
  <si>
    <t>1 PASS              =4</t>
  </si>
  <si>
    <t>FAILURES             =4</t>
  </si>
  <si>
    <t>ABSENT    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</si>
</sst>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 new roman"/>
    </font>
    <font>
      <b/>
      <i/>
      <sz val="12"/>
      <color theme="1"/>
      <name val="Time new roman"/>
    </font>
    <font>
      <b/>
      <sz val="12"/>
      <color theme="1"/>
      <name val="Time new roman"/>
    </font>
    <font>
      <b/>
      <i/>
      <sz val="12"/>
      <color indexed="8"/>
      <name val="Time new roman"/>
    </font>
    <font>
      <sz val="12"/>
      <color theme="0"/>
      <name val="Time new roman"/>
    </font>
    <font>
      <sz val="12"/>
      <name val="Time new roman"/>
    </font>
    <font>
      <b/>
      <sz val="7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Time new roman"/>
    </font>
    <font>
      <b/>
      <sz val="16"/>
      <color theme="1"/>
      <name val="Time new roman"/>
    </font>
    <font>
      <b/>
      <sz val="18"/>
      <color theme="1"/>
      <name val="Time new roman"/>
    </font>
    <font>
      <b/>
      <i/>
      <sz val="16"/>
      <color theme="1"/>
      <name val="Time new roman"/>
    </font>
    <font>
      <sz val="11"/>
      <color theme="1"/>
      <name val="Time new roman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textRotation="90" wrapText="1"/>
    </xf>
    <xf numFmtId="0" fontId="6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/>
    <xf numFmtId="0" fontId="7" fillId="2" borderId="1" xfId="0" applyFont="1" applyFill="1" applyBorder="1"/>
    <xf numFmtId="0" fontId="8" fillId="0" borderId="1" xfId="0" applyFont="1" applyBorder="1"/>
    <xf numFmtId="9" fontId="3" fillId="0" borderId="1" xfId="1" applyFont="1" applyBorder="1"/>
    <xf numFmtId="9" fontId="3" fillId="0" borderId="14" xfId="1" applyFont="1" applyBorder="1"/>
    <xf numFmtId="0" fontId="3" fillId="0" borderId="8" xfId="0" applyFont="1" applyBorder="1"/>
    <xf numFmtId="0" fontId="4" fillId="0" borderId="7" xfId="0" applyFont="1" applyBorder="1" applyAlignment="1">
      <alignment horizontal="center"/>
    </xf>
    <xf numFmtId="0" fontId="8" fillId="0" borderId="1" xfId="0" applyFont="1" applyFill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 applyFill="1" applyBorder="1" applyAlignment="1">
      <alignment wrapText="1"/>
    </xf>
    <xf numFmtId="0" fontId="17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56"/>
  <sheetViews>
    <sheetView showZeros="0" tabSelected="1" view="pageBreakPreview" topLeftCell="A8" zoomScaleNormal="100" zoomScaleSheetLayoutView="100" workbookViewId="0">
      <selection activeCell="Q23" sqref="Q23"/>
    </sheetView>
  </sheetViews>
  <sheetFormatPr defaultColWidth="9.1796875" defaultRowHeight="9.5"/>
  <cols>
    <col min="1" max="1" width="4" style="1" customWidth="1"/>
    <col min="2" max="2" width="30" style="1" bestFit="1" customWidth="1"/>
    <col min="3" max="14" width="4.54296875" style="1" customWidth="1"/>
    <col min="15" max="41" width="4.81640625" style="1" customWidth="1"/>
    <col min="42" max="42" width="12" style="1" customWidth="1"/>
    <col min="43" max="16384" width="9.1796875" style="1"/>
  </cols>
  <sheetData>
    <row r="1" spans="1:44" ht="27" customHeight="1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4"/>
      <c r="AQ1" s="4"/>
      <c r="AR1" s="4"/>
    </row>
    <row r="2" spans="1:44" ht="27" customHeight="1">
      <c r="A2" s="50" t="s">
        <v>35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4"/>
      <c r="AQ2" s="4"/>
      <c r="AR2" s="4"/>
    </row>
    <row r="3" spans="1:44" ht="27" customHeight="1">
      <c r="A3" s="51" t="s">
        <v>42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4"/>
      <c r="AQ3" s="4"/>
      <c r="AR3" s="4"/>
    </row>
    <row r="4" spans="1:44" ht="27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4"/>
      <c r="AQ4" s="4"/>
      <c r="AR4" s="4"/>
    </row>
    <row r="5" spans="1:44" ht="27" customHeight="1">
      <c r="A5" s="53" t="s">
        <v>1</v>
      </c>
      <c r="B5" s="53"/>
      <c r="C5" s="54" t="s">
        <v>37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4"/>
      <c r="AQ5" s="4"/>
      <c r="AR5" s="4"/>
    </row>
    <row r="6" spans="1:44" s="2" customFormat="1" ht="27" customHeight="1">
      <c r="A6" s="33" t="s">
        <v>2</v>
      </c>
      <c r="B6" s="36" t="s">
        <v>3</v>
      </c>
      <c r="C6" s="39" t="s">
        <v>4</v>
      </c>
      <c r="D6" s="40"/>
      <c r="E6" s="40"/>
      <c r="F6" s="40"/>
      <c r="G6" s="40"/>
      <c r="H6" s="40"/>
      <c r="I6" s="40"/>
      <c r="J6" s="40"/>
      <c r="K6" s="41"/>
      <c r="L6" s="42" t="s">
        <v>5</v>
      </c>
      <c r="M6" s="43"/>
      <c r="N6" s="44"/>
      <c r="O6" s="48" t="s">
        <v>6</v>
      </c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6"/>
      <c r="AQ6" s="6"/>
      <c r="AR6" s="6"/>
    </row>
    <row r="7" spans="1:44" s="2" customFormat="1" ht="27" customHeight="1">
      <c r="A7" s="34"/>
      <c r="B7" s="37"/>
      <c r="C7" s="28" t="s">
        <v>7</v>
      </c>
      <c r="D7" s="32"/>
      <c r="E7" s="32"/>
      <c r="F7" s="49" t="s">
        <v>8</v>
      </c>
      <c r="G7" s="49"/>
      <c r="H7" s="49"/>
      <c r="I7" s="26" t="s">
        <v>9</v>
      </c>
      <c r="J7" s="27"/>
      <c r="K7" s="28"/>
      <c r="L7" s="45"/>
      <c r="M7" s="46"/>
      <c r="N7" s="47"/>
      <c r="O7" s="32" t="s">
        <v>10</v>
      </c>
      <c r="P7" s="32"/>
      <c r="Q7" s="32"/>
      <c r="R7" s="32" t="s">
        <v>11</v>
      </c>
      <c r="S7" s="32"/>
      <c r="T7" s="32"/>
      <c r="U7" s="32" t="s">
        <v>12</v>
      </c>
      <c r="V7" s="32"/>
      <c r="W7" s="32"/>
      <c r="X7" s="32" t="s">
        <v>13</v>
      </c>
      <c r="Y7" s="32"/>
      <c r="Z7" s="32"/>
      <c r="AA7" s="32" t="s">
        <v>14</v>
      </c>
      <c r="AB7" s="32"/>
      <c r="AC7" s="32"/>
      <c r="AD7" s="32" t="s">
        <v>15</v>
      </c>
      <c r="AE7" s="32"/>
      <c r="AF7" s="32"/>
      <c r="AG7" s="32" t="s">
        <v>16</v>
      </c>
      <c r="AH7" s="32"/>
      <c r="AI7" s="32"/>
      <c r="AJ7" s="32" t="s">
        <v>17</v>
      </c>
      <c r="AK7" s="32"/>
      <c r="AL7" s="32"/>
      <c r="AM7" s="32" t="s">
        <v>18</v>
      </c>
      <c r="AN7" s="32"/>
      <c r="AO7" s="32"/>
      <c r="AP7" s="25" t="s">
        <v>34</v>
      </c>
      <c r="AQ7" s="25"/>
      <c r="AR7" s="7"/>
    </row>
    <row r="8" spans="1:44" s="2" customFormat="1" ht="27" customHeight="1">
      <c r="A8" s="35"/>
      <c r="B8" s="38"/>
      <c r="C8" s="8" t="s">
        <v>19</v>
      </c>
      <c r="D8" s="8" t="s">
        <v>20</v>
      </c>
      <c r="E8" s="8" t="s">
        <v>21</v>
      </c>
      <c r="F8" s="8" t="s">
        <v>19</v>
      </c>
      <c r="G8" s="8" t="s">
        <v>20</v>
      </c>
      <c r="H8" s="8" t="s">
        <v>21</v>
      </c>
      <c r="I8" s="8" t="s">
        <v>19</v>
      </c>
      <c r="J8" s="8" t="s">
        <v>20</v>
      </c>
      <c r="K8" s="8" t="s">
        <v>21</v>
      </c>
      <c r="L8" s="8" t="s">
        <v>19</v>
      </c>
      <c r="M8" s="8" t="s">
        <v>20</v>
      </c>
      <c r="N8" s="8" t="s">
        <v>21</v>
      </c>
      <c r="O8" s="8" t="s">
        <v>19</v>
      </c>
      <c r="P8" s="8" t="s">
        <v>20</v>
      </c>
      <c r="Q8" s="8" t="s">
        <v>21</v>
      </c>
      <c r="R8" s="8" t="s">
        <v>19</v>
      </c>
      <c r="S8" s="8" t="s">
        <v>20</v>
      </c>
      <c r="T8" s="8" t="s">
        <v>21</v>
      </c>
      <c r="U8" s="8" t="s">
        <v>19</v>
      </c>
      <c r="V8" s="8" t="s">
        <v>20</v>
      </c>
      <c r="W8" s="8" t="s">
        <v>21</v>
      </c>
      <c r="X8" s="8" t="s">
        <v>19</v>
      </c>
      <c r="Y8" s="8" t="s">
        <v>20</v>
      </c>
      <c r="Z8" s="8" t="s">
        <v>21</v>
      </c>
      <c r="AA8" s="8" t="s">
        <v>19</v>
      </c>
      <c r="AB8" s="8" t="s">
        <v>20</v>
      </c>
      <c r="AC8" s="8" t="s">
        <v>21</v>
      </c>
      <c r="AD8" s="8" t="s">
        <v>19</v>
      </c>
      <c r="AE8" s="8" t="s">
        <v>20</v>
      </c>
      <c r="AF8" s="8" t="s">
        <v>21</v>
      </c>
      <c r="AG8" s="8" t="s">
        <v>19</v>
      </c>
      <c r="AH8" s="8" t="s">
        <v>20</v>
      </c>
      <c r="AI8" s="8" t="s">
        <v>21</v>
      </c>
      <c r="AJ8" s="8" t="s">
        <v>19</v>
      </c>
      <c r="AK8" s="8" t="s">
        <v>20</v>
      </c>
      <c r="AL8" s="8" t="s">
        <v>21</v>
      </c>
      <c r="AM8" s="8" t="s">
        <v>19</v>
      </c>
      <c r="AN8" s="8" t="s">
        <v>20</v>
      </c>
      <c r="AO8" s="8" t="s">
        <v>21</v>
      </c>
      <c r="AP8" s="9" t="s">
        <v>19</v>
      </c>
      <c r="AQ8" s="9" t="s">
        <v>20</v>
      </c>
      <c r="AR8" s="7" t="s">
        <v>21</v>
      </c>
    </row>
    <row r="9" spans="1:44" s="2" customFormat="1" ht="27" customHeight="1">
      <c r="A9" s="10"/>
      <c r="B9" s="11" t="s">
        <v>22</v>
      </c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8"/>
      <c r="AP9" s="8"/>
      <c r="AQ9" s="8"/>
      <c r="AR9" s="12"/>
    </row>
    <row r="10" spans="1:44" ht="27" customHeight="1">
      <c r="A10" s="13">
        <v>1</v>
      </c>
      <c r="B10" s="13" t="s">
        <v>23</v>
      </c>
      <c r="C10" s="13">
        <v>1</v>
      </c>
      <c r="D10" s="13">
        <v>22</v>
      </c>
      <c r="E10" s="14">
        <f>SUM(C10:D10)</f>
        <v>23</v>
      </c>
      <c r="F10" s="13">
        <v>1</v>
      </c>
      <c r="G10" s="13">
        <v>22</v>
      </c>
      <c r="H10" s="14">
        <f>SUM(F10:G10)</f>
        <v>23</v>
      </c>
      <c r="I10" s="15">
        <v>0</v>
      </c>
      <c r="J10" s="15">
        <v>0</v>
      </c>
      <c r="K10" s="14">
        <f>SUM(I10:J10)</f>
        <v>0</v>
      </c>
      <c r="L10" s="13"/>
      <c r="M10" s="13"/>
      <c r="N10" s="14">
        <f>SUM(L10:M10)</f>
        <v>0</v>
      </c>
      <c r="O10" s="13">
        <v>0</v>
      </c>
      <c r="P10" s="13">
        <v>0</v>
      </c>
      <c r="Q10" s="14">
        <f>SUM(O10:P10)</f>
        <v>0</v>
      </c>
      <c r="R10" s="13">
        <v>0</v>
      </c>
      <c r="S10" s="13">
        <v>0</v>
      </c>
      <c r="T10" s="14">
        <f>SUM(R10:S10)</f>
        <v>0</v>
      </c>
      <c r="U10" s="13">
        <v>0</v>
      </c>
      <c r="V10" s="13">
        <v>0</v>
      </c>
      <c r="W10" s="14">
        <f>SUM(U10:V10)</f>
        <v>0</v>
      </c>
      <c r="X10" s="13"/>
      <c r="Y10" s="13">
        <v>0</v>
      </c>
      <c r="Z10" s="14">
        <f>SUM(X10:Y10)</f>
        <v>0</v>
      </c>
      <c r="AA10" s="13">
        <v>1</v>
      </c>
      <c r="AB10" s="13"/>
      <c r="AC10" s="14">
        <f>SUM(AA10:AB10)</f>
        <v>1</v>
      </c>
      <c r="AD10" s="13"/>
      <c r="AE10" s="13">
        <v>1</v>
      </c>
      <c r="AF10" s="14">
        <f>SUM(AD10:AE10)</f>
        <v>1</v>
      </c>
      <c r="AG10" s="13"/>
      <c r="AH10" s="13">
        <v>3</v>
      </c>
      <c r="AI10" s="14">
        <f>SUM(AG10:AH10)</f>
        <v>3</v>
      </c>
      <c r="AJ10" s="13"/>
      <c r="AK10" s="13">
        <v>2</v>
      </c>
      <c r="AL10" s="14">
        <f>SUM(AJ10:AK10)</f>
        <v>2</v>
      </c>
      <c r="AM10" s="13"/>
      <c r="AN10" s="13">
        <v>16</v>
      </c>
      <c r="AO10" s="14">
        <f>SUM(AM10:AN10)</f>
        <v>16</v>
      </c>
      <c r="AP10" s="16">
        <f>SUM(O10,R10,U10,X10,AA10,AD10,AG10,AJ10)/F10</f>
        <v>1</v>
      </c>
      <c r="AQ10" s="16">
        <f>SUM(P10,S10,V10,Y10,AB10,AE10,AH10,AK10)/G10</f>
        <v>0.27272727272727271</v>
      </c>
      <c r="AR10" s="17">
        <f>SUM(Q10,T10,W10,Z10,AC10,AF10,AI10,AL10)/H10</f>
        <v>0.30434782608695654</v>
      </c>
    </row>
    <row r="11" spans="1:44" ht="27" customHeight="1">
      <c r="A11" s="13">
        <v>2</v>
      </c>
      <c r="B11" s="13" t="s">
        <v>24</v>
      </c>
      <c r="C11" s="13">
        <v>1</v>
      </c>
      <c r="D11" s="13">
        <v>22</v>
      </c>
      <c r="E11" s="14">
        <f t="shared" ref="E11:E21" si="0">SUM(C11:D11)</f>
        <v>23</v>
      </c>
      <c r="F11" s="13">
        <v>1</v>
      </c>
      <c r="G11" s="13">
        <v>22</v>
      </c>
      <c r="H11" s="14">
        <f t="shared" ref="H11:H21" si="1">SUM(F11:G11)</f>
        <v>23</v>
      </c>
      <c r="I11" s="15">
        <v>0</v>
      </c>
      <c r="J11" s="15">
        <v>0</v>
      </c>
      <c r="K11" s="14">
        <f t="shared" ref="K11:K13" si="2">SUM(I11:J11)</f>
        <v>0</v>
      </c>
      <c r="L11" s="13"/>
      <c r="M11" s="13"/>
      <c r="N11" s="14">
        <f t="shared" ref="N11:N21" si="3">SUM(L11:M11)</f>
        <v>0</v>
      </c>
      <c r="O11" s="13"/>
      <c r="P11" s="13">
        <v>0</v>
      </c>
      <c r="Q11" s="14">
        <f t="shared" ref="Q11:Q21" si="4">SUM(O11:P11)</f>
        <v>0</v>
      </c>
      <c r="R11" s="13"/>
      <c r="S11" s="13">
        <v>0</v>
      </c>
      <c r="T11" s="14">
        <f t="shared" ref="T11:T21" si="5">SUM(R11:S11)</f>
        <v>0</v>
      </c>
      <c r="U11" s="13"/>
      <c r="V11" s="13"/>
      <c r="W11" s="14">
        <f t="shared" ref="W11:W21" si="6">SUM(U11:V11)</f>
        <v>0</v>
      </c>
      <c r="X11" s="13"/>
      <c r="Y11" s="13">
        <v>0</v>
      </c>
      <c r="Z11" s="14">
        <f t="shared" ref="Z11:Z21" si="7">SUM(X11:Y11)</f>
        <v>0</v>
      </c>
      <c r="AA11" s="13"/>
      <c r="AB11" s="13"/>
      <c r="AC11" s="14">
        <f t="shared" ref="AC11:AC21" si="8">SUM(AA11:AB11)</f>
        <v>0</v>
      </c>
      <c r="AD11" s="13"/>
      <c r="AE11" s="13"/>
      <c r="AF11" s="14">
        <f t="shared" ref="AF11:AF21" si="9">SUM(AD11:AE11)</f>
        <v>0</v>
      </c>
      <c r="AG11" s="13"/>
      <c r="AH11" s="13"/>
      <c r="AI11" s="14">
        <f t="shared" ref="AI11:AI21" si="10">SUM(AG11:AH11)</f>
        <v>0</v>
      </c>
      <c r="AJ11" s="13">
        <v>1</v>
      </c>
      <c r="AK11" s="13">
        <v>2</v>
      </c>
      <c r="AL11" s="14">
        <f>SUM(AJ11:AK11)</f>
        <v>3</v>
      </c>
      <c r="AM11" s="13"/>
      <c r="AN11" s="13">
        <v>20</v>
      </c>
      <c r="AO11" s="14">
        <f t="shared" ref="AO11:AO21" si="11">SUM(AM11:AN11)</f>
        <v>20</v>
      </c>
      <c r="AP11" s="16">
        <f>SUM(O11,R11,U11,X11,AA11,AD11,AG11,AJ11)/F11</f>
        <v>1</v>
      </c>
      <c r="AQ11" s="16">
        <f t="shared" ref="AP11:AR13" si="12">SUM(P11,S11,V11,Y11,AB11,AE11,AH11,AK11)/G11</f>
        <v>9.0909090909090912E-2</v>
      </c>
      <c r="AR11" s="17">
        <f t="shared" si="12"/>
        <v>0.13043478260869565</v>
      </c>
    </row>
    <row r="12" spans="1:44" ht="27" customHeight="1">
      <c r="A12" s="13">
        <v>3</v>
      </c>
      <c r="B12" s="13" t="s">
        <v>25</v>
      </c>
      <c r="C12" s="13">
        <v>1</v>
      </c>
      <c r="D12" s="13">
        <v>22</v>
      </c>
      <c r="E12" s="14">
        <f t="shared" si="0"/>
        <v>23</v>
      </c>
      <c r="F12" s="13">
        <v>1</v>
      </c>
      <c r="G12" s="13">
        <v>22</v>
      </c>
      <c r="H12" s="14">
        <f t="shared" si="1"/>
        <v>23</v>
      </c>
      <c r="I12" s="15">
        <v>0</v>
      </c>
      <c r="J12" s="15">
        <v>0</v>
      </c>
      <c r="K12" s="14">
        <f t="shared" si="2"/>
        <v>0</v>
      </c>
      <c r="L12" s="13"/>
      <c r="M12" s="13"/>
      <c r="N12" s="14">
        <f t="shared" si="3"/>
        <v>0</v>
      </c>
      <c r="O12" s="13">
        <v>0</v>
      </c>
      <c r="P12" s="13">
        <v>0</v>
      </c>
      <c r="Q12" s="14">
        <f t="shared" si="4"/>
        <v>0</v>
      </c>
      <c r="R12" s="13">
        <v>0</v>
      </c>
      <c r="S12" s="13">
        <v>0</v>
      </c>
      <c r="T12" s="14">
        <f t="shared" si="5"/>
        <v>0</v>
      </c>
      <c r="U12" s="13"/>
      <c r="V12" s="13">
        <v>0</v>
      </c>
      <c r="W12" s="14">
        <f t="shared" si="6"/>
        <v>0</v>
      </c>
      <c r="X12" s="13"/>
      <c r="Y12" s="13">
        <v>0</v>
      </c>
      <c r="Z12" s="14">
        <f t="shared" si="7"/>
        <v>0</v>
      </c>
      <c r="AA12" s="13"/>
      <c r="AB12" s="13">
        <v>0</v>
      </c>
      <c r="AC12" s="14">
        <f t="shared" si="8"/>
        <v>0</v>
      </c>
      <c r="AD12" s="13"/>
      <c r="AE12" s="13"/>
      <c r="AF12" s="14">
        <f t="shared" si="9"/>
        <v>0</v>
      </c>
      <c r="AG12" s="13"/>
      <c r="AH12" s="13"/>
      <c r="AI12" s="14">
        <f t="shared" si="10"/>
        <v>0</v>
      </c>
      <c r="AJ12" s="13"/>
      <c r="AK12" s="13">
        <v>2</v>
      </c>
      <c r="AL12" s="14">
        <f t="shared" ref="AL12:AL21" si="13">SUM(AJ12:AK12)</f>
        <v>2</v>
      </c>
      <c r="AM12" s="13">
        <v>1</v>
      </c>
      <c r="AN12" s="13">
        <v>20</v>
      </c>
      <c r="AO12" s="14">
        <f t="shared" si="11"/>
        <v>21</v>
      </c>
      <c r="AP12" s="16">
        <f t="shared" si="12"/>
        <v>0</v>
      </c>
      <c r="AQ12" s="16">
        <f t="shared" si="12"/>
        <v>9.0909090909090912E-2</v>
      </c>
      <c r="AR12" s="17">
        <f t="shared" si="12"/>
        <v>8.6956521739130432E-2</v>
      </c>
    </row>
    <row r="13" spans="1:44" ht="27" customHeight="1">
      <c r="A13" s="13">
        <v>4</v>
      </c>
      <c r="B13" s="13" t="s">
        <v>26</v>
      </c>
      <c r="C13" s="13">
        <v>1</v>
      </c>
      <c r="D13" s="13">
        <v>22</v>
      </c>
      <c r="E13" s="14">
        <f t="shared" si="0"/>
        <v>23</v>
      </c>
      <c r="F13" s="13">
        <v>1</v>
      </c>
      <c r="G13" s="13">
        <v>22</v>
      </c>
      <c r="H13" s="14">
        <f t="shared" si="1"/>
        <v>23</v>
      </c>
      <c r="I13" s="15">
        <v>0</v>
      </c>
      <c r="J13" s="15">
        <v>0</v>
      </c>
      <c r="K13" s="14">
        <f t="shared" si="2"/>
        <v>0</v>
      </c>
      <c r="L13" s="13"/>
      <c r="M13" s="13">
        <v>0</v>
      </c>
      <c r="N13" s="14">
        <f t="shared" si="3"/>
        <v>0</v>
      </c>
      <c r="O13" s="13"/>
      <c r="P13" s="13">
        <v>0</v>
      </c>
      <c r="Q13" s="14">
        <f t="shared" si="4"/>
        <v>0</v>
      </c>
      <c r="R13" s="13"/>
      <c r="S13" s="13">
        <v>0</v>
      </c>
      <c r="T13" s="14">
        <f t="shared" si="5"/>
        <v>0</v>
      </c>
      <c r="U13" s="13"/>
      <c r="V13" s="13"/>
      <c r="W13" s="14">
        <f t="shared" si="6"/>
        <v>0</v>
      </c>
      <c r="X13" s="13"/>
      <c r="Y13" s="13">
        <v>1</v>
      </c>
      <c r="Z13" s="14">
        <f t="shared" si="7"/>
        <v>1</v>
      </c>
      <c r="AA13" s="13">
        <v>1</v>
      </c>
      <c r="AB13" s="13">
        <v>1</v>
      </c>
      <c r="AC13" s="14">
        <f t="shared" si="8"/>
        <v>2</v>
      </c>
      <c r="AD13" s="13"/>
      <c r="AE13" s="13">
        <v>4</v>
      </c>
      <c r="AF13" s="14">
        <f t="shared" si="9"/>
        <v>4</v>
      </c>
      <c r="AG13" s="13"/>
      <c r="AH13" s="13">
        <v>1</v>
      </c>
      <c r="AI13" s="14">
        <f t="shared" si="10"/>
        <v>1</v>
      </c>
      <c r="AJ13" s="13"/>
      <c r="AK13" s="13">
        <v>5</v>
      </c>
      <c r="AL13" s="14">
        <f t="shared" si="13"/>
        <v>5</v>
      </c>
      <c r="AM13" s="13"/>
      <c r="AN13" s="13">
        <v>10</v>
      </c>
      <c r="AO13" s="14">
        <f t="shared" si="11"/>
        <v>10</v>
      </c>
      <c r="AP13" s="16">
        <f t="shared" si="12"/>
        <v>1</v>
      </c>
      <c r="AQ13" s="16">
        <f t="shared" si="12"/>
        <v>0.54545454545454541</v>
      </c>
      <c r="AR13" s="17">
        <f t="shared" si="12"/>
        <v>0.56521739130434778</v>
      </c>
    </row>
    <row r="14" spans="1:44" ht="27" customHeight="1">
      <c r="A14" s="18"/>
      <c r="B14" s="19" t="s">
        <v>27</v>
      </c>
      <c r="C14" s="29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1"/>
      <c r="AP14" s="16"/>
      <c r="AQ14" s="16"/>
      <c r="AR14" s="17"/>
    </row>
    <row r="15" spans="1:44" ht="27" customHeight="1">
      <c r="A15" s="13">
        <v>5</v>
      </c>
      <c r="B15" s="20" t="s">
        <v>28</v>
      </c>
      <c r="C15" s="13">
        <v>1</v>
      </c>
      <c r="D15" s="13">
        <v>22</v>
      </c>
      <c r="E15" s="14">
        <f t="shared" si="0"/>
        <v>23</v>
      </c>
      <c r="F15" s="13">
        <v>1</v>
      </c>
      <c r="G15" s="13">
        <v>22</v>
      </c>
      <c r="H15" s="14">
        <f t="shared" si="1"/>
        <v>23</v>
      </c>
      <c r="I15" s="15">
        <v>0</v>
      </c>
      <c r="J15" s="15"/>
      <c r="K15" s="14">
        <f t="shared" ref="K15:K21" si="14">SUM(I15:J15)</f>
        <v>0</v>
      </c>
      <c r="L15" s="13"/>
      <c r="M15" s="13"/>
      <c r="N15" s="14">
        <f t="shared" si="3"/>
        <v>0</v>
      </c>
      <c r="O15" s="13">
        <v>0</v>
      </c>
      <c r="P15" s="13">
        <v>0</v>
      </c>
      <c r="Q15" s="14">
        <f t="shared" si="4"/>
        <v>0</v>
      </c>
      <c r="R15" s="13">
        <v>0</v>
      </c>
      <c r="S15" s="13">
        <v>0</v>
      </c>
      <c r="T15" s="14">
        <f t="shared" si="5"/>
        <v>0</v>
      </c>
      <c r="U15" s="13"/>
      <c r="V15" s="13">
        <v>0</v>
      </c>
      <c r="W15" s="14">
        <f t="shared" si="6"/>
        <v>0</v>
      </c>
      <c r="X15" s="13"/>
      <c r="Y15" s="13">
        <v>0</v>
      </c>
      <c r="Z15" s="14">
        <f t="shared" si="7"/>
        <v>0</v>
      </c>
      <c r="AA15" s="13">
        <v>0</v>
      </c>
      <c r="AB15" s="13">
        <v>1</v>
      </c>
      <c r="AC15" s="14">
        <f t="shared" si="8"/>
        <v>1</v>
      </c>
      <c r="AD15" s="13"/>
      <c r="AE15" s="13">
        <v>3</v>
      </c>
      <c r="AF15" s="14">
        <f t="shared" si="9"/>
        <v>3</v>
      </c>
      <c r="AG15" s="13">
        <v>1</v>
      </c>
      <c r="AH15" s="13">
        <v>4</v>
      </c>
      <c r="AI15" s="14">
        <f t="shared" si="10"/>
        <v>5</v>
      </c>
      <c r="AJ15" s="13"/>
      <c r="AK15" s="13">
        <v>7</v>
      </c>
      <c r="AL15" s="14">
        <f t="shared" si="13"/>
        <v>7</v>
      </c>
      <c r="AM15" s="13"/>
      <c r="AN15" s="13">
        <v>7</v>
      </c>
      <c r="AO15" s="14">
        <f t="shared" si="11"/>
        <v>7</v>
      </c>
      <c r="AP15" s="16">
        <f t="shared" ref="AP15:AR21" si="15">SUM(O15,R15,U15,X15,AA15,AD15,AG15,AJ15)/F15</f>
        <v>1</v>
      </c>
      <c r="AQ15" s="16">
        <f t="shared" si="15"/>
        <v>0.68181818181818177</v>
      </c>
      <c r="AR15" s="17">
        <f t="shared" si="15"/>
        <v>0.69565217391304346</v>
      </c>
    </row>
    <row r="16" spans="1:44" ht="27" customHeight="1">
      <c r="A16" s="13">
        <v>6</v>
      </c>
      <c r="B16" s="20" t="s">
        <v>30</v>
      </c>
      <c r="C16" s="13">
        <v>1</v>
      </c>
      <c r="D16" s="13">
        <v>4</v>
      </c>
      <c r="E16" s="14">
        <f t="shared" si="0"/>
        <v>5</v>
      </c>
      <c r="F16" s="13">
        <v>1</v>
      </c>
      <c r="G16" s="13">
        <v>4</v>
      </c>
      <c r="H16" s="14">
        <f t="shared" si="1"/>
        <v>5</v>
      </c>
      <c r="I16" s="15">
        <v>0</v>
      </c>
      <c r="J16" s="15"/>
      <c r="K16" s="14">
        <f t="shared" si="14"/>
        <v>0</v>
      </c>
      <c r="L16" s="13"/>
      <c r="M16" s="13"/>
      <c r="N16" s="14">
        <f t="shared" si="3"/>
        <v>0</v>
      </c>
      <c r="O16" s="13">
        <v>0</v>
      </c>
      <c r="P16" s="13">
        <v>0</v>
      </c>
      <c r="Q16" s="14">
        <f t="shared" si="4"/>
        <v>0</v>
      </c>
      <c r="R16" s="13">
        <v>0</v>
      </c>
      <c r="S16" s="13">
        <v>0</v>
      </c>
      <c r="T16" s="14">
        <f t="shared" si="5"/>
        <v>0</v>
      </c>
      <c r="U16" s="13">
        <v>0</v>
      </c>
      <c r="V16" s="13">
        <v>0</v>
      </c>
      <c r="W16" s="14">
        <f t="shared" si="6"/>
        <v>0</v>
      </c>
      <c r="X16" s="13">
        <v>0</v>
      </c>
      <c r="Y16" s="13">
        <v>0</v>
      </c>
      <c r="Z16" s="14">
        <f t="shared" si="7"/>
        <v>0</v>
      </c>
      <c r="AA16" s="13">
        <v>0</v>
      </c>
      <c r="AB16" s="13">
        <v>0</v>
      </c>
      <c r="AC16" s="14">
        <f t="shared" si="8"/>
        <v>0</v>
      </c>
      <c r="AD16" s="13">
        <v>0</v>
      </c>
      <c r="AE16" s="13">
        <v>0</v>
      </c>
      <c r="AF16" s="14">
        <f t="shared" si="9"/>
        <v>0</v>
      </c>
      <c r="AG16" s="13">
        <v>0</v>
      </c>
      <c r="AH16" s="13"/>
      <c r="AI16" s="14">
        <f t="shared" si="10"/>
        <v>0</v>
      </c>
      <c r="AJ16" s="13"/>
      <c r="AK16" s="13"/>
      <c r="AL16" s="14">
        <f t="shared" si="13"/>
        <v>0</v>
      </c>
      <c r="AM16" s="13">
        <v>1</v>
      </c>
      <c r="AN16" s="13">
        <v>4</v>
      </c>
      <c r="AO16" s="14">
        <f t="shared" si="11"/>
        <v>5</v>
      </c>
      <c r="AP16" s="16">
        <f t="shared" si="15"/>
        <v>0</v>
      </c>
      <c r="AQ16" s="16">
        <f t="shared" si="15"/>
        <v>0</v>
      </c>
      <c r="AR16" s="17">
        <f>SUM(Q16,T16,W16,Z16,AC16,AF16,AI16,AL16)/H16</f>
        <v>0</v>
      </c>
    </row>
    <row r="17" spans="1:44" ht="27" customHeight="1">
      <c r="A17" s="13">
        <v>7</v>
      </c>
      <c r="B17" s="20" t="s">
        <v>31</v>
      </c>
      <c r="C17" s="13">
        <v>1</v>
      </c>
      <c r="D17" s="13">
        <v>4</v>
      </c>
      <c r="E17" s="14">
        <f t="shared" si="0"/>
        <v>5</v>
      </c>
      <c r="F17" s="13">
        <v>1</v>
      </c>
      <c r="G17" s="13">
        <v>4</v>
      </c>
      <c r="H17" s="14">
        <f t="shared" si="1"/>
        <v>5</v>
      </c>
      <c r="I17" s="15">
        <v>0</v>
      </c>
      <c r="J17" s="15"/>
      <c r="K17" s="14">
        <f t="shared" si="14"/>
        <v>0</v>
      </c>
      <c r="L17" s="13"/>
      <c r="M17" s="13"/>
      <c r="N17" s="14">
        <f t="shared" si="3"/>
        <v>0</v>
      </c>
      <c r="O17" s="13">
        <v>0</v>
      </c>
      <c r="P17" s="13"/>
      <c r="Q17" s="14">
        <f t="shared" si="4"/>
        <v>0</v>
      </c>
      <c r="R17" s="13">
        <v>0</v>
      </c>
      <c r="S17" s="13"/>
      <c r="T17" s="14">
        <f t="shared" si="5"/>
        <v>0</v>
      </c>
      <c r="U17" s="13"/>
      <c r="V17" s="13"/>
      <c r="W17" s="14">
        <f t="shared" si="6"/>
        <v>0</v>
      </c>
      <c r="X17" s="13">
        <v>0</v>
      </c>
      <c r="Y17" s="13"/>
      <c r="Z17" s="14">
        <f t="shared" si="7"/>
        <v>0</v>
      </c>
      <c r="AA17" s="13"/>
      <c r="AB17" s="13"/>
      <c r="AC17" s="14">
        <f t="shared" si="8"/>
        <v>0</v>
      </c>
      <c r="AD17" s="13"/>
      <c r="AE17" s="13"/>
      <c r="AF17" s="14">
        <f t="shared" si="9"/>
        <v>0</v>
      </c>
      <c r="AG17" s="13"/>
      <c r="AH17" s="13"/>
      <c r="AI17" s="14">
        <f t="shared" si="10"/>
        <v>0</v>
      </c>
      <c r="AJ17" s="13">
        <v>1</v>
      </c>
      <c r="AK17" s="13">
        <v>1</v>
      </c>
      <c r="AL17" s="14">
        <f t="shared" si="13"/>
        <v>2</v>
      </c>
      <c r="AM17" s="13"/>
      <c r="AN17" s="13">
        <v>3</v>
      </c>
      <c r="AO17" s="14">
        <f t="shared" si="11"/>
        <v>3</v>
      </c>
      <c r="AP17" s="16">
        <f t="shared" si="15"/>
        <v>1</v>
      </c>
      <c r="AQ17" s="16">
        <f>SUM(P17,S17,V17,Y17,AB17,AE17,AH17,AK17)/G17</f>
        <v>0.25</v>
      </c>
      <c r="AR17" s="17">
        <f>SUM(Q17,T17,W17,Z17,AC17,AF17,AI17,AL17)/H17</f>
        <v>0.4</v>
      </c>
    </row>
    <row r="18" spans="1:44" ht="27" customHeight="1">
      <c r="A18" s="13">
        <v>8</v>
      </c>
      <c r="B18" s="20" t="s">
        <v>29</v>
      </c>
      <c r="C18" s="13">
        <v>1</v>
      </c>
      <c r="D18" s="13">
        <v>4</v>
      </c>
      <c r="E18" s="14">
        <f t="shared" si="0"/>
        <v>5</v>
      </c>
      <c r="F18" s="13">
        <v>1</v>
      </c>
      <c r="G18" s="13">
        <v>4</v>
      </c>
      <c r="H18" s="14">
        <f t="shared" si="1"/>
        <v>5</v>
      </c>
      <c r="I18" s="15">
        <v>0</v>
      </c>
      <c r="J18" s="15"/>
      <c r="K18" s="14">
        <f t="shared" si="14"/>
        <v>0</v>
      </c>
      <c r="L18" s="13"/>
      <c r="M18" s="13"/>
      <c r="N18" s="14">
        <f t="shared" si="3"/>
        <v>0</v>
      </c>
      <c r="O18" s="13"/>
      <c r="P18" s="13">
        <v>0</v>
      </c>
      <c r="Q18" s="14">
        <f t="shared" si="4"/>
        <v>0</v>
      </c>
      <c r="R18" s="13"/>
      <c r="S18" s="13"/>
      <c r="T18" s="14">
        <f t="shared" si="5"/>
        <v>0</v>
      </c>
      <c r="U18" s="13"/>
      <c r="V18" s="13"/>
      <c r="W18" s="14">
        <f t="shared" si="6"/>
        <v>0</v>
      </c>
      <c r="X18" s="13"/>
      <c r="Y18" s="13"/>
      <c r="Z18" s="14">
        <f t="shared" si="7"/>
        <v>0</v>
      </c>
      <c r="AA18" s="13"/>
      <c r="AB18" s="13"/>
      <c r="AC18" s="14">
        <f t="shared" si="8"/>
        <v>0</v>
      </c>
      <c r="AD18" s="13"/>
      <c r="AE18" s="13"/>
      <c r="AF18" s="14">
        <f t="shared" si="9"/>
        <v>0</v>
      </c>
      <c r="AG18" s="13"/>
      <c r="AH18" s="13"/>
      <c r="AI18" s="14">
        <f t="shared" si="10"/>
        <v>0</v>
      </c>
      <c r="AJ18" s="13">
        <v>1</v>
      </c>
      <c r="AK18" s="13"/>
      <c r="AL18" s="14">
        <f t="shared" si="13"/>
        <v>1</v>
      </c>
      <c r="AM18" s="13"/>
      <c r="AN18" s="13">
        <v>4</v>
      </c>
      <c r="AO18" s="14">
        <f t="shared" si="11"/>
        <v>4</v>
      </c>
      <c r="AP18" s="16">
        <f t="shared" si="15"/>
        <v>1</v>
      </c>
      <c r="AQ18" s="16">
        <f>SUM(P18,S18,V18,Y18,AB18,AE18,AH18,AK18)/G18</f>
        <v>0</v>
      </c>
      <c r="AR18" s="17">
        <f t="shared" si="15"/>
        <v>0.2</v>
      </c>
    </row>
    <row r="19" spans="1:44" ht="27" customHeight="1">
      <c r="A19" s="13">
        <v>9</v>
      </c>
      <c r="B19" s="20" t="s">
        <v>32</v>
      </c>
      <c r="C19" s="13">
        <v>0</v>
      </c>
      <c r="D19" s="13">
        <v>18</v>
      </c>
      <c r="E19" s="14">
        <f t="shared" si="0"/>
        <v>18</v>
      </c>
      <c r="F19" s="13"/>
      <c r="G19" s="13">
        <v>18</v>
      </c>
      <c r="H19" s="14">
        <f t="shared" si="1"/>
        <v>18</v>
      </c>
      <c r="I19" s="15"/>
      <c r="J19" s="15"/>
      <c r="K19" s="14">
        <f t="shared" si="14"/>
        <v>0</v>
      </c>
      <c r="L19" s="13"/>
      <c r="M19" s="13"/>
      <c r="N19" s="14">
        <f t="shared" si="3"/>
        <v>0</v>
      </c>
      <c r="O19" s="13"/>
      <c r="P19" s="13">
        <v>0</v>
      </c>
      <c r="Q19" s="14">
        <f t="shared" si="4"/>
        <v>0</v>
      </c>
      <c r="R19" s="13"/>
      <c r="S19" s="13">
        <v>0</v>
      </c>
      <c r="T19" s="14">
        <f t="shared" si="5"/>
        <v>0</v>
      </c>
      <c r="U19" s="13"/>
      <c r="V19" s="13">
        <v>1</v>
      </c>
      <c r="W19" s="14">
        <f t="shared" si="6"/>
        <v>1</v>
      </c>
      <c r="X19" s="13"/>
      <c r="Y19" s="13">
        <v>2</v>
      </c>
      <c r="Z19" s="14">
        <f t="shared" si="7"/>
        <v>2</v>
      </c>
      <c r="AA19" s="13"/>
      <c r="AB19" s="13">
        <v>2</v>
      </c>
      <c r="AC19" s="14">
        <f t="shared" si="8"/>
        <v>2</v>
      </c>
      <c r="AD19" s="13"/>
      <c r="AE19" s="13">
        <v>8</v>
      </c>
      <c r="AF19" s="14">
        <f t="shared" si="9"/>
        <v>8</v>
      </c>
      <c r="AG19" s="13"/>
      <c r="AH19" s="13">
        <v>2</v>
      </c>
      <c r="AI19" s="14">
        <f t="shared" si="10"/>
        <v>2</v>
      </c>
      <c r="AJ19" s="13"/>
      <c r="AK19" s="13">
        <v>3</v>
      </c>
      <c r="AL19" s="14">
        <f t="shared" si="13"/>
        <v>3</v>
      </c>
      <c r="AM19" s="13"/>
      <c r="AN19" s="13"/>
      <c r="AO19" s="14">
        <f t="shared" si="11"/>
        <v>0</v>
      </c>
      <c r="AP19" s="16"/>
      <c r="AQ19" s="16">
        <f t="shared" si="15"/>
        <v>1</v>
      </c>
      <c r="AR19" s="17">
        <f t="shared" si="15"/>
        <v>1</v>
      </c>
    </row>
    <row r="20" spans="1:44" ht="27" customHeight="1">
      <c r="A20" s="13">
        <v>10</v>
      </c>
      <c r="B20" s="20" t="s">
        <v>36</v>
      </c>
      <c r="C20" s="13"/>
      <c r="D20" s="13">
        <v>18</v>
      </c>
      <c r="E20" s="14">
        <f t="shared" si="0"/>
        <v>18</v>
      </c>
      <c r="F20" s="13"/>
      <c r="G20" s="13">
        <v>18</v>
      </c>
      <c r="H20" s="14">
        <f t="shared" si="1"/>
        <v>18</v>
      </c>
      <c r="I20" s="15"/>
      <c r="J20" s="15"/>
      <c r="K20" s="14">
        <f t="shared" si="14"/>
        <v>0</v>
      </c>
      <c r="L20" s="13"/>
      <c r="M20" s="13"/>
      <c r="N20" s="14">
        <f t="shared" si="3"/>
        <v>0</v>
      </c>
      <c r="O20" s="13"/>
      <c r="P20" s="13">
        <v>0</v>
      </c>
      <c r="Q20" s="14">
        <f t="shared" si="4"/>
        <v>0</v>
      </c>
      <c r="R20" s="13">
        <v>0</v>
      </c>
      <c r="S20" s="13">
        <v>0</v>
      </c>
      <c r="T20" s="14">
        <f t="shared" si="5"/>
        <v>0</v>
      </c>
      <c r="U20" s="13">
        <v>0</v>
      </c>
      <c r="V20" s="13">
        <v>0</v>
      </c>
      <c r="W20" s="14">
        <f t="shared" si="6"/>
        <v>0</v>
      </c>
      <c r="X20" s="13"/>
      <c r="Y20" s="13">
        <v>0</v>
      </c>
      <c r="Z20" s="14">
        <f t="shared" si="7"/>
        <v>0</v>
      </c>
      <c r="AA20" s="13"/>
      <c r="AB20" s="13"/>
      <c r="AC20" s="14">
        <f t="shared" si="8"/>
        <v>0</v>
      </c>
      <c r="AD20" s="13"/>
      <c r="AE20" s="13">
        <v>1</v>
      </c>
      <c r="AF20" s="14">
        <f t="shared" si="9"/>
        <v>1</v>
      </c>
      <c r="AG20" s="13"/>
      <c r="AH20" s="13">
        <v>1</v>
      </c>
      <c r="AI20" s="14">
        <f t="shared" si="10"/>
        <v>1</v>
      </c>
      <c r="AJ20" s="13"/>
      <c r="AK20" s="13">
        <v>1</v>
      </c>
      <c r="AL20" s="14">
        <f t="shared" si="13"/>
        <v>1</v>
      </c>
      <c r="AM20" s="13"/>
      <c r="AN20" s="13">
        <v>15</v>
      </c>
      <c r="AO20" s="14">
        <f t="shared" si="11"/>
        <v>15</v>
      </c>
      <c r="AP20" s="16"/>
      <c r="AQ20" s="16">
        <f t="shared" si="15"/>
        <v>0.16666666666666666</v>
      </c>
      <c r="AR20" s="17">
        <f t="shared" si="15"/>
        <v>0.16666666666666666</v>
      </c>
    </row>
    <row r="21" spans="1:44" ht="27" customHeight="1">
      <c r="A21" s="13">
        <v>11</v>
      </c>
      <c r="B21" s="20" t="s">
        <v>33</v>
      </c>
      <c r="C21" s="13"/>
      <c r="D21" s="13">
        <v>18</v>
      </c>
      <c r="E21" s="14">
        <f t="shared" si="0"/>
        <v>18</v>
      </c>
      <c r="F21" s="13"/>
      <c r="G21" s="13">
        <v>18</v>
      </c>
      <c r="H21" s="14">
        <f t="shared" si="1"/>
        <v>18</v>
      </c>
      <c r="I21" s="15"/>
      <c r="J21" s="15"/>
      <c r="K21" s="14">
        <f t="shared" si="14"/>
        <v>0</v>
      </c>
      <c r="L21" s="13"/>
      <c r="M21" s="13"/>
      <c r="N21" s="14">
        <f t="shared" si="3"/>
        <v>0</v>
      </c>
      <c r="O21" s="13">
        <v>0</v>
      </c>
      <c r="P21" s="13">
        <v>0</v>
      </c>
      <c r="Q21" s="14">
        <f t="shared" si="4"/>
        <v>0</v>
      </c>
      <c r="R21" s="13">
        <v>0</v>
      </c>
      <c r="S21" s="13">
        <v>0</v>
      </c>
      <c r="T21" s="14">
        <f t="shared" si="5"/>
        <v>0</v>
      </c>
      <c r="U21" s="13"/>
      <c r="V21" s="13">
        <v>1</v>
      </c>
      <c r="W21" s="14">
        <f t="shared" si="6"/>
        <v>1</v>
      </c>
      <c r="X21" s="13"/>
      <c r="Y21" s="13">
        <v>1</v>
      </c>
      <c r="Z21" s="14">
        <f t="shared" si="7"/>
        <v>1</v>
      </c>
      <c r="AA21" s="13"/>
      <c r="AB21" s="13">
        <v>1</v>
      </c>
      <c r="AC21" s="14">
        <f t="shared" si="8"/>
        <v>1</v>
      </c>
      <c r="AD21" s="13"/>
      <c r="AE21" s="13">
        <v>10</v>
      </c>
      <c r="AF21" s="14">
        <f t="shared" si="9"/>
        <v>10</v>
      </c>
      <c r="AG21" s="13"/>
      <c r="AH21" s="13">
        <v>2</v>
      </c>
      <c r="AI21" s="14">
        <f t="shared" si="10"/>
        <v>2</v>
      </c>
      <c r="AJ21" s="13"/>
      <c r="AK21" s="13"/>
      <c r="AL21" s="14">
        <f t="shared" si="13"/>
        <v>0</v>
      </c>
      <c r="AM21" s="13"/>
      <c r="AN21" s="13">
        <v>2</v>
      </c>
      <c r="AO21" s="14">
        <f t="shared" si="11"/>
        <v>2</v>
      </c>
      <c r="AP21" s="16"/>
      <c r="AQ21" s="16">
        <f t="shared" si="15"/>
        <v>0.83333333333333337</v>
      </c>
      <c r="AR21" s="17">
        <f t="shared" si="15"/>
        <v>0.83333333333333337</v>
      </c>
    </row>
    <row r="22" spans="1:44" ht="15.75" customHeight="1"/>
    <row r="23" spans="1:44" ht="15.75" customHeight="1">
      <c r="A23" s="21"/>
      <c r="B23" s="22" t="s">
        <v>38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</row>
    <row r="24" spans="1:4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</row>
    <row r="25" spans="1:44" ht="15.75" customHeight="1">
      <c r="A25" s="21"/>
      <c r="B25" s="22" t="s">
        <v>39</v>
      </c>
      <c r="C25" s="24">
        <v>23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</row>
    <row r="26" spans="1:44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</row>
    <row r="27" spans="1:44" ht="15.75" customHeight="1">
      <c r="A27" s="21"/>
      <c r="B27" s="22" t="s">
        <v>43</v>
      </c>
      <c r="C27" s="21"/>
      <c r="D27" s="21"/>
      <c r="E27" s="22" t="s">
        <v>45</v>
      </c>
      <c r="F27" s="21"/>
      <c r="G27" s="21"/>
      <c r="H27" s="21"/>
      <c r="I27" s="21"/>
      <c r="J27" s="21"/>
      <c r="K27" s="21"/>
      <c r="L27" s="21"/>
      <c r="M27" s="22" t="s">
        <v>47</v>
      </c>
      <c r="N27" s="21"/>
      <c r="O27" s="21"/>
      <c r="P27" s="21"/>
      <c r="Q27" s="21"/>
      <c r="R27" s="21"/>
      <c r="S27" s="21"/>
      <c r="T27" s="22" t="s">
        <v>49</v>
      </c>
      <c r="U27" s="21"/>
      <c r="V27" s="21"/>
      <c r="W27" s="21"/>
      <c r="X27" s="21"/>
      <c r="Y27" s="21"/>
      <c r="Z27" s="21"/>
      <c r="AA27" s="22" t="s">
        <v>51</v>
      </c>
      <c r="AB27" s="21"/>
      <c r="AC27" s="21"/>
      <c r="AD27" s="21"/>
      <c r="AE27" s="21"/>
      <c r="AF27" s="21"/>
      <c r="AG27" s="21"/>
      <c r="AH27" s="21"/>
      <c r="AI27" s="22" t="s">
        <v>52</v>
      </c>
      <c r="AJ27" s="21"/>
      <c r="AK27" s="21"/>
      <c r="AL27" s="21"/>
      <c r="AM27" s="21"/>
      <c r="AN27" s="21"/>
      <c r="AO27" s="21"/>
      <c r="AP27" s="21"/>
    </row>
    <row r="28" spans="1:44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</row>
    <row r="29" spans="1:44" ht="15.75" customHeight="1">
      <c r="A29" s="21"/>
      <c r="B29" s="23" t="s">
        <v>44</v>
      </c>
      <c r="C29" s="21"/>
      <c r="D29" s="21"/>
      <c r="E29" s="22" t="s">
        <v>46</v>
      </c>
      <c r="F29" s="21"/>
      <c r="G29" s="21"/>
      <c r="H29" s="21"/>
      <c r="I29" s="21"/>
      <c r="J29" s="21"/>
      <c r="K29" s="21"/>
      <c r="L29" s="21"/>
      <c r="M29" s="22" t="s">
        <v>48</v>
      </c>
      <c r="N29" s="21"/>
      <c r="O29" s="21"/>
      <c r="P29" s="21"/>
      <c r="Q29" s="21"/>
      <c r="R29" s="21"/>
      <c r="S29" s="21"/>
      <c r="T29" s="22" t="s">
        <v>50</v>
      </c>
      <c r="U29" s="21"/>
      <c r="V29" s="21"/>
      <c r="W29" s="21"/>
      <c r="X29" s="21"/>
      <c r="Y29" s="21"/>
      <c r="Z29" s="21"/>
      <c r="AA29" s="22" t="s">
        <v>40</v>
      </c>
      <c r="AB29" s="21"/>
      <c r="AC29" s="21"/>
      <c r="AD29" s="21"/>
      <c r="AE29" s="21"/>
      <c r="AF29" s="21"/>
      <c r="AG29" s="21"/>
      <c r="AH29" s="21"/>
      <c r="AI29" s="22" t="s">
        <v>41</v>
      </c>
      <c r="AJ29" s="21"/>
      <c r="AK29" s="21"/>
      <c r="AL29" s="21"/>
      <c r="AM29" s="21"/>
      <c r="AN29" s="21"/>
      <c r="AO29" s="21"/>
      <c r="AP29" s="21"/>
    </row>
    <row r="30" spans="1:44">
      <c r="B30" s="3"/>
    </row>
    <row r="31" spans="1:44">
      <c r="B31" s="3"/>
    </row>
    <row r="32" spans="1:44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</sheetData>
  <mergeCells count="26">
    <mergeCell ref="A1:AO1"/>
    <mergeCell ref="A2:AO2"/>
    <mergeCell ref="A3:AO3"/>
    <mergeCell ref="A4:AO4"/>
    <mergeCell ref="A5:B5"/>
    <mergeCell ref="C5:Q5"/>
    <mergeCell ref="A6:A8"/>
    <mergeCell ref="B6:B8"/>
    <mergeCell ref="C6:K6"/>
    <mergeCell ref="L6:N7"/>
    <mergeCell ref="O6:AO6"/>
    <mergeCell ref="C7:E7"/>
    <mergeCell ref="F7:H7"/>
    <mergeCell ref="I7:K7"/>
    <mergeCell ref="O7:Q7"/>
    <mergeCell ref="R7:T7"/>
    <mergeCell ref="AM7:AO7"/>
    <mergeCell ref="AP7:AQ7"/>
    <mergeCell ref="C9:AO9"/>
    <mergeCell ref="C14:AO14"/>
    <mergeCell ref="U7:W7"/>
    <mergeCell ref="X7:Z7"/>
    <mergeCell ref="AA7:AC7"/>
    <mergeCell ref="AD7:AF7"/>
    <mergeCell ref="AG7:AI7"/>
    <mergeCell ref="AJ7:AL7"/>
  </mergeCells>
  <dataValidations count="1">
    <dataValidation type="custom" allowBlank="1" showInputMessage="1" showErrorMessage="1" sqref="T10:T13 AL10:AL13 AF10:AF13 Q10:Q13 K10:K13 AC10:AC13 H10:H13 AI10:AI13 Z10:Z13 AI15:AI21 W10:W13 E10:E13 AO10:AO13 E15:E21 H15:H21 K15:K21 N15:N21 Q15:Q21 T15:T21 W15:W21 Z15:Z21 AC15:AC21 AF15:AF21 N10:N13 AL15:AL21 AO15:AO21" xr:uid="{00000000-0002-0000-0000-000000000000}">
      <formula1>"a or 1"</formula1>
    </dataValidation>
  </dataValidations>
  <pageMargins left="0.25" right="0.25" top="0.75" bottom="0.75" header="0.3" footer="0.3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</vt:lpstr>
      <vt:lpstr>Sample!Print_Area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Tang Alex</cp:lastModifiedBy>
  <cp:lastPrinted>2025-04-30T06:28:46Z</cp:lastPrinted>
  <dcterms:created xsi:type="dcterms:W3CDTF">2016-10-13T19:25:42Z</dcterms:created>
  <dcterms:modified xsi:type="dcterms:W3CDTF">2025-04-30T06:30:01Z</dcterms:modified>
</cp:coreProperties>
</file>